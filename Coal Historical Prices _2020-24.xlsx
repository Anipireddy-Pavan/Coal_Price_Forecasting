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b7e9f17fbe518fa/Desktop/CPF- DOC's/"/>
    </mc:Choice>
  </mc:AlternateContent>
  <xr:revisionPtr revIDLastSave="1" documentId="8_{EC97409A-97BF-4DCA-A51A-F98669345B39}" xr6:coauthVersionLast="47" xr6:coauthVersionMax="47" xr10:uidLastSave="{0A355691-2B2D-48BF-AE83-6166E814338C}"/>
  <bookViews>
    <workbookView minimized="1" xWindow="1848" yWindow="1848" windowWidth="17280" windowHeight="8880" xr2:uid="{00000000-000D-0000-FFFF-FFFF00000000}"/>
  </bookViews>
  <sheets>
    <sheet name="2020" sheetId="2" r:id="rId1"/>
    <sheet name="2021" sheetId="3" r:id="rId2"/>
    <sheet name="2022" sheetId="4" r:id="rId3"/>
    <sheet name="2023" sheetId="5" r:id="rId4"/>
    <sheet name="2024" sheetId="6" r:id="rId5"/>
  </sheets>
  <externalReferences>
    <externalReference r:id="rId6"/>
  </externalReferences>
  <definedNames>
    <definedName name="_xlnm._FilterDatabase" localSheetId="0" hidden="1">'2020'!$A$2:$F$961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4" i="5" l="1"/>
  <c r="E250" i="5"/>
  <c r="E251" i="5" s="1"/>
  <c r="E252" i="5" s="1"/>
  <c r="E253" i="5" s="1"/>
  <c r="E245" i="5"/>
  <c r="E246" i="5" s="1"/>
  <c r="E247" i="5" s="1"/>
  <c r="E248" i="5" s="1"/>
  <c r="E249" i="5" s="1"/>
  <c r="E240" i="5"/>
  <c r="E241" i="5" s="1"/>
  <c r="E242" i="5" s="1"/>
  <c r="E243" i="5" s="1"/>
  <c r="E244" i="5" s="1"/>
  <c r="E235" i="5"/>
  <c r="E236" i="5" s="1"/>
  <c r="E237" i="5" s="1"/>
  <c r="E238" i="5" s="1"/>
  <c r="E239" i="5" s="1"/>
  <c r="E230" i="5"/>
  <c r="E231" i="5" s="1"/>
  <c r="E232" i="5" s="1"/>
  <c r="E233" i="5" s="1"/>
  <c r="E234" i="5" s="1"/>
  <c r="E225" i="5"/>
  <c r="E226" i="5" s="1"/>
  <c r="E227" i="5" s="1"/>
  <c r="E228" i="5" s="1"/>
  <c r="E229" i="5" s="1"/>
  <c r="E220" i="5"/>
  <c r="E221" i="5" s="1"/>
  <c r="E222" i="5" s="1"/>
  <c r="E223" i="5" s="1"/>
  <c r="E224" i="5" s="1"/>
  <c r="E215" i="5"/>
  <c r="E216" i="5" s="1"/>
  <c r="E217" i="5" s="1"/>
  <c r="E218" i="5" s="1"/>
  <c r="E219" i="5" s="1"/>
  <c r="E210" i="5"/>
  <c r="E211" i="5" s="1"/>
  <c r="E212" i="5" s="1"/>
  <c r="E213" i="5" s="1"/>
  <c r="E214" i="5" s="1"/>
  <c r="E205" i="5"/>
  <c r="E206" i="5" s="1"/>
  <c r="E207" i="5" s="1"/>
  <c r="E208" i="5" s="1"/>
  <c r="E209" i="5" s="1"/>
  <c r="E200" i="5"/>
  <c r="E201" i="5" s="1"/>
  <c r="E202" i="5" s="1"/>
  <c r="E203" i="5" s="1"/>
  <c r="E204" i="5" s="1"/>
  <c r="E195" i="5"/>
  <c r="E196" i="5" s="1"/>
  <c r="E197" i="5" s="1"/>
  <c r="E198" i="5" s="1"/>
  <c r="E199" i="5" s="1"/>
  <c r="E190" i="5"/>
  <c r="E191" i="5" s="1"/>
  <c r="E192" i="5" s="1"/>
  <c r="E193" i="5" s="1"/>
  <c r="E194" i="5" s="1"/>
  <c r="E185" i="5"/>
  <c r="E186" i="5" s="1"/>
  <c r="E187" i="5" s="1"/>
  <c r="E188" i="5" s="1"/>
  <c r="E189" i="5" s="1"/>
  <c r="E180" i="5"/>
  <c r="E181" i="5" s="1"/>
  <c r="E182" i="5" s="1"/>
  <c r="E183" i="5" s="1"/>
  <c r="E184" i="5" s="1"/>
  <c r="E175" i="5"/>
  <c r="E176" i="5" s="1"/>
  <c r="E177" i="5" s="1"/>
  <c r="E178" i="5" s="1"/>
  <c r="E179" i="5" s="1"/>
  <c r="E170" i="5"/>
  <c r="E171" i="5" s="1"/>
  <c r="E172" i="5" s="1"/>
  <c r="E173" i="5" s="1"/>
  <c r="E174" i="5" s="1"/>
  <c r="E166" i="5"/>
  <c r="E167" i="5" s="1"/>
  <c r="E168" i="5" s="1"/>
  <c r="E169" i="5" s="1"/>
  <c r="E161" i="5"/>
  <c r="E162" i="5" s="1"/>
  <c r="E163" i="5" s="1"/>
  <c r="E164" i="5" s="1"/>
  <c r="E165" i="5" s="1"/>
  <c r="E156" i="5"/>
  <c r="E157" i="5" s="1"/>
  <c r="E158" i="5" s="1"/>
  <c r="E159" i="5" s="1"/>
  <c r="E160" i="5" s="1"/>
  <c r="E151" i="5"/>
  <c r="E152" i="5" s="1"/>
  <c r="E153" i="5" s="1"/>
  <c r="E154" i="5" s="1"/>
  <c r="E155" i="5" s="1"/>
  <c r="E146" i="5"/>
  <c r="E147" i="5" s="1"/>
  <c r="E148" i="5" s="1"/>
  <c r="E149" i="5" s="1"/>
  <c r="E150" i="5" s="1"/>
  <c r="E141" i="5"/>
  <c r="E142" i="5" s="1"/>
  <c r="E143" i="5" s="1"/>
  <c r="E144" i="5" s="1"/>
  <c r="E145" i="5" s="1"/>
  <c r="E136" i="5"/>
  <c r="E137" i="5" s="1"/>
  <c r="E138" i="5" s="1"/>
  <c r="E139" i="5" s="1"/>
  <c r="E140" i="5" s="1"/>
  <c r="E131" i="5"/>
  <c r="E132" i="5" s="1"/>
  <c r="E133" i="5" s="1"/>
  <c r="E134" i="5" s="1"/>
  <c r="E135" i="5" s="1"/>
  <c r="E126" i="5"/>
  <c r="E127" i="5" s="1"/>
  <c r="E128" i="5" s="1"/>
  <c r="E129" i="5" s="1"/>
  <c r="E130" i="5" s="1"/>
  <c r="E121" i="5"/>
  <c r="E122" i="5" s="1"/>
  <c r="E123" i="5" s="1"/>
  <c r="E124" i="5" s="1"/>
  <c r="E125" i="5" s="1"/>
  <c r="E116" i="5"/>
  <c r="E117" i="5" s="1"/>
  <c r="E118" i="5" s="1"/>
  <c r="E119" i="5" s="1"/>
  <c r="E120" i="5" s="1"/>
  <c r="E111" i="5"/>
  <c r="E112" i="5" s="1"/>
  <c r="E113" i="5" s="1"/>
  <c r="E114" i="5" s="1"/>
  <c r="E115" i="5" s="1"/>
  <c r="E106" i="5"/>
  <c r="E107" i="5" s="1"/>
  <c r="E108" i="5" s="1"/>
  <c r="E109" i="5" s="1"/>
  <c r="E110" i="5" s="1"/>
  <c r="E102" i="5"/>
  <c r="E103" i="5" s="1"/>
  <c r="E104" i="5" s="1"/>
  <c r="E105" i="5" s="1"/>
  <c r="E97" i="5"/>
  <c r="E98" i="5" s="1"/>
  <c r="E99" i="5" s="1"/>
  <c r="E100" i="5" s="1"/>
  <c r="E101" i="5" s="1"/>
  <c r="E92" i="5"/>
  <c r="E93" i="5" s="1"/>
  <c r="E94" i="5" s="1"/>
  <c r="E95" i="5" s="1"/>
  <c r="E96" i="5" s="1"/>
  <c r="E88" i="5"/>
  <c r="E89" i="5" s="1"/>
  <c r="E90" i="5" s="1"/>
  <c r="E91" i="5" s="1"/>
  <c r="E84" i="5"/>
  <c r="E85" i="5" s="1"/>
  <c r="E86" i="5" s="1"/>
  <c r="E87" i="5" s="1"/>
  <c r="E79" i="5"/>
  <c r="E80" i="5" s="1"/>
  <c r="E81" i="5" s="1"/>
  <c r="E82" i="5" s="1"/>
  <c r="E83" i="5" s="1"/>
  <c r="E74" i="5"/>
  <c r="E75" i="5" s="1"/>
  <c r="E76" i="5" s="1"/>
  <c r="E77" i="5" s="1"/>
  <c r="E78" i="5" s="1"/>
  <c r="E70" i="5"/>
  <c r="E71" i="5" s="1"/>
  <c r="E72" i="5" s="1"/>
  <c r="E73" i="5" s="1"/>
  <c r="E66" i="5"/>
  <c r="E67" i="5" s="1"/>
  <c r="E68" i="5" s="1"/>
  <c r="E69" i="5" s="1"/>
  <c r="E61" i="5"/>
  <c r="E62" i="5" s="1"/>
  <c r="E63" i="5" s="1"/>
  <c r="E64" i="5" s="1"/>
  <c r="E65" i="5" s="1"/>
  <c r="E56" i="5"/>
  <c r="E57" i="5" s="1"/>
  <c r="E58" i="5" s="1"/>
  <c r="E59" i="5" s="1"/>
  <c r="E60" i="5" s="1"/>
  <c r="E51" i="5"/>
  <c r="E52" i="5" s="1"/>
  <c r="E53" i="5" s="1"/>
  <c r="E54" i="5" s="1"/>
  <c r="E55" i="5" s="1"/>
  <c r="E46" i="5"/>
  <c r="E47" i="5" s="1"/>
  <c r="E48" i="5" s="1"/>
  <c r="E49" i="5" s="1"/>
  <c r="E50" i="5" s="1"/>
  <c r="E41" i="5"/>
  <c r="E42" i="5" s="1"/>
  <c r="E43" i="5" s="1"/>
  <c r="E44" i="5" s="1"/>
  <c r="E45" i="5" s="1"/>
  <c r="E36" i="5"/>
  <c r="E37" i="5" s="1"/>
  <c r="E38" i="5" s="1"/>
  <c r="E39" i="5" s="1"/>
  <c r="E40" i="5" s="1"/>
  <c r="E31" i="5"/>
  <c r="E32" i="5" s="1"/>
  <c r="E33" i="5" s="1"/>
  <c r="E34" i="5" s="1"/>
  <c r="E35" i="5" s="1"/>
  <c r="E26" i="5"/>
  <c r="E27" i="5" s="1"/>
  <c r="E28" i="5" s="1"/>
  <c r="E29" i="5" s="1"/>
  <c r="E30" i="5" s="1"/>
  <c r="E21" i="5"/>
  <c r="E22" i="5" s="1"/>
  <c r="E23" i="5" s="1"/>
  <c r="E24" i="5" s="1"/>
  <c r="E25" i="5" s="1"/>
  <c r="E16" i="5"/>
  <c r="E17" i="5" s="1"/>
  <c r="E18" i="5" s="1"/>
  <c r="E19" i="5" s="1"/>
  <c r="E20" i="5" s="1"/>
  <c r="E11" i="5"/>
  <c r="E12" i="5" s="1"/>
  <c r="E13" i="5" s="1"/>
  <c r="E14" i="5" s="1"/>
  <c r="E15" i="5" s="1"/>
  <c r="E6" i="5"/>
  <c r="E7" i="5" s="1"/>
  <c r="E8" i="5" s="1"/>
  <c r="E9" i="5" s="1"/>
  <c r="E10" i="5" s="1"/>
  <c r="E257" i="4"/>
  <c r="E3" i="5" s="1"/>
  <c r="E4" i="5" s="1"/>
  <c r="E5" i="5" s="1"/>
  <c r="E253" i="4"/>
  <c r="E254" i="4" s="1"/>
  <c r="E255" i="4" s="1"/>
  <c r="E256" i="4" s="1"/>
  <c r="E248" i="4"/>
  <c r="E249" i="4" s="1"/>
  <c r="E250" i="4" s="1"/>
  <c r="E251" i="4" s="1"/>
  <c r="E252" i="4" s="1"/>
  <c r="E243" i="4"/>
  <c r="E244" i="4" s="1"/>
  <c r="E245" i="4" s="1"/>
  <c r="E246" i="4" s="1"/>
  <c r="E247" i="4" s="1"/>
  <c r="E238" i="4"/>
  <c r="E239" i="4" s="1"/>
  <c r="E240" i="4" s="1"/>
  <c r="E241" i="4" s="1"/>
  <c r="E242" i="4" s="1"/>
  <c r="E233" i="4"/>
  <c r="E234" i="4" s="1"/>
  <c r="E235" i="4" s="1"/>
  <c r="E236" i="4" s="1"/>
  <c r="E237" i="4" s="1"/>
  <c r="E228" i="4"/>
  <c r="E229" i="4" s="1"/>
  <c r="E230" i="4" s="1"/>
  <c r="E231" i="4" s="1"/>
  <c r="E232" i="4" s="1"/>
  <c r="E223" i="4"/>
  <c r="E224" i="4" s="1"/>
  <c r="E225" i="4" s="1"/>
  <c r="E226" i="4" s="1"/>
  <c r="E227" i="4" s="1"/>
  <c r="E218" i="4"/>
  <c r="E219" i="4" s="1"/>
  <c r="E220" i="4" s="1"/>
  <c r="E221" i="4" s="1"/>
  <c r="E222" i="4" s="1"/>
  <c r="E213" i="4"/>
  <c r="E214" i="4" s="1"/>
  <c r="E215" i="4" s="1"/>
  <c r="E216" i="4" s="1"/>
  <c r="E217" i="4" s="1"/>
  <c r="E208" i="4"/>
  <c r="E209" i="4" s="1"/>
  <c r="E210" i="4" s="1"/>
  <c r="E211" i="4" s="1"/>
  <c r="E212" i="4" s="1"/>
  <c r="E203" i="4"/>
  <c r="E204" i="4" s="1"/>
  <c r="E205" i="4" s="1"/>
  <c r="E206" i="4" s="1"/>
  <c r="E207" i="4" s="1"/>
  <c r="E198" i="4"/>
  <c r="E199" i="4" s="1"/>
  <c r="E200" i="4" s="1"/>
  <c r="E201" i="4" s="1"/>
  <c r="E202" i="4" s="1"/>
  <c r="E193" i="4"/>
  <c r="E194" i="4" s="1"/>
  <c r="E195" i="4" s="1"/>
  <c r="E196" i="4" s="1"/>
  <c r="E197" i="4" s="1"/>
  <c r="E188" i="4"/>
  <c r="E189" i="4" s="1"/>
  <c r="E190" i="4" s="1"/>
  <c r="E191" i="4" s="1"/>
  <c r="E192" i="4" s="1"/>
  <c r="E184" i="4"/>
  <c r="E185" i="4" s="1"/>
  <c r="E186" i="4" s="1"/>
  <c r="E187" i="4" s="1"/>
  <c r="E179" i="4"/>
  <c r="E180" i="4" s="1"/>
  <c r="E181" i="4" s="1"/>
  <c r="E182" i="4" s="1"/>
  <c r="E183" i="4" s="1"/>
  <c r="E174" i="4"/>
  <c r="E175" i="4" s="1"/>
  <c r="E176" i="4" s="1"/>
  <c r="E177" i="4" s="1"/>
  <c r="E178" i="4" s="1"/>
  <c r="E170" i="4"/>
  <c r="E171" i="4" s="1"/>
  <c r="E172" i="4" s="1"/>
  <c r="E173" i="4" s="1"/>
  <c r="E165" i="4"/>
  <c r="E166" i="4" s="1"/>
  <c r="E167" i="4" s="1"/>
  <c r="E168" i="4" s="1"/>
  <c r="E169" i="4" s="1"/>
  <c r="E160" i="4"/>
  <c r="E161" i="4" s="1"/>
  <c r="E162" i="4" s="1"/>
  <c r="E163" i="4" s="1"/>
  <c r="E164" i="4" s="1"/>
  <c r="E155" i="4"/>
  <c r="E156" i="4" s="1"/>
  <c r="E157" i="4" s="1"/>
  <c r="E158" i="4" s="1"/>
  <c r="E159" i="4" s="1"/>
  <c r="E150" i="4"/>
  <c r="E151" i="4" s="1"/>
  <c r="E152" i="4" s="1"/>
  <c r="E153" i="4" s="1"/>
  <c r="E154" i="4" s="1"/>
  <c r="E145" i="4"/>
  <c r="E146" i="4" s="1"/>
  <c r="E147" i="4" s="1"/>
  <c r="E148" i="4" s="1"/>
  <c r="E149" i="4" s="1"/>
  <c r="E140" i="4"/>
  <c r="E141" i="4" s="1"/>
  <c r="E142" i="4" s="1"/>
  <c r="E143" i="4" s="1"/>
  <c r="E144" i="4" s="1"/>
  <c r="E135" i="4"/>
  <c r="E136" i="4" s="1"/>
  <c r="E137" i="4" s="1"/>
  <c r="E138" i="4" s="1"/>
  <c r="E139" i="4" s="1"/>
  <c r="E130" i="4"/>
  <c r="E131" i="4" s="1"/>
  <c r="E132" i="4" s="1"/>
  <c r="E133" i="4" s="1"/>
  <c r="E134" i="4" s="1"/>
  <c r="E125" i="4"/>
  <c r="E126" i="4" s="1"/>
  <c r="E127" i="4" s="1"/>
  <c r="E128" i="4" s="1"/>
  <c r="E129" i="4" s="1"/>
  <c r="E120" i="4"/>
  <c r="E121" i="4" s="1"/>
  <c r="E122" i="4" s="1"/>
  <c r="E123" i="4" s="1"/>
  <c r="E124" i="4" s="1"/>
  <c r="E115" i="4"/>
  <c r="E116" i="4" s="1"/>
  <c r="E117" i="4" s="1"/>
  <c r="E118" i="4" s="1"/>
  <c r="E119" i="4" s="1"/>
  <c r="E108" i="4"/>
  <c r="E109" i="4" s="1"/>
  <c r="E110" i="4" s="1"/>
  <c r="E111" i="4" s="1"/>
  <c r="E112" i="4" s="1"/>
  <c r="E113" i="4" s="1"/>
  <c r="E114" i="4" s="1"/>
  <c r="E105" i="4"/>
  <c r="E106" i="4" s="1"/>
  <c r="E107" i="4" s="1"/>
  <c r="E100" i="4"/>
  <c r="E101" i="4" s="1"/>
  <c r="E102" i="4" s="1"/>
  <c r="E103" i="4" s="1"/>
  <c r="E104" i="4" s="1"/>
  <c r="E95" i="4"/>
  <c r="E96" i="4" s="1"/>
  <c r="E97" i="4" s="1"/>
  <c r="E98" i="4" s="1"/>
  <c r="E99" i="4" s="1"/>
  <c r="E90" i="4"/>
  <c r="E91" i="4" s="1"/>
  <c r="E92" i="4" s="1"/>
  <c r="E93" i="4" s="1"/>
  <c r="E94" i="4" s="1"/>
  <c r="E86" i="4"/>
  <c r="E87" i="4" s="1"/>
  <c r="E88" i="4" s="1"/>
  <c r="E89" i="4" s="1"/>
  <c r="E81" i="4"/>
  <c r="E82" i="4" s="1"/>
  <c r="E83" i="4" s="1"/>
  <c r="E84" i="4" s="1"/>
  <c r="E85" i="4" s="1"/>
  <c r="E76" i="4"/>
  <c r="E77" i="4" s="1"/>
  <c r="E78" i="4" s="1"/>
  <c r="E79" i="4" s="1"/>
  <c r="E80" i="4" s="1"/>
  <c r="E72" i="4"/>
  <c r="E73" i="4" s="1"/>
  <c r="E74" i="4" s="1"/>
  <c r="E75" i="4" s="1"/>
  <c r="E67" i="4"/>
  <c r="E68" i="4" s="1"/>
  <c r="E69" i="4" s="1"/>
  <c r="E70" i="4" s="1"/>
  <c r="E71" i="4" s="1"/>
  <c r="E62" i="4"/>
  <c r="E63" i="4" s="1"/>
  <c r="E64" i="4" s="1"/>
  <c r="E65" i="4" s="1"/>
  <c r="E66" i="4" s="1"/>
  <c r="E57" i="4"/>
  <c r="E58" i="4" s="1"/>
  <c r="E59" i="4" s="1"/>
  <c r="E60" i="4" s="1"/>
  <c r="E61" i="4" s="1"/>
  <c r="E52" i="4"/>
  <c r="E53" i="4" s="1"/>
  <c r="E54" i="4" s="1"/>
  <c r="E55" i="4" s="1"/>
  <c r="E56" i="4" s="1"/>
  <c r="E47" i="4"/>
  <c r="E48" i="4" s="1"/>
  <c r="E49" i="4" s="1"/>
  <c r="E50" i="4" s="1"/>
  <c r="E51" i="4" s="1"/>
  <c r="E42" i="4"/>
  <c r="E43" i="4" s="1"/>
  <c r="E44" i="4" s="1"/>
  <c r="E45" i="4" s="1"/>
  <c r="E46" i="4" s="1"/>
  <c r="E37" i="4"/>
  <c r="E38" i="4" s="1"/>
  <c r="E39" i="4" s="1"/>
  <c r="E40" i="4" s="1"/>
  <c r="E41" i="4" s="1"/>
  <c r="E32" i="4"/>
  <c r="E33" i="4" s="1"/>
  <c r="E34" i="4" s="1"/>
  <c r="E35" i="4" s="1"/>
  <c r="E36" i="4" s="1"/>
  <c r="E27" i="4"/>
  <c r="E28" i="4" s="1"/>
  <c r="E29" i="4" s="1"/>
  <c r="E30" i="4" s="1"/>
  <c r="E31" i="4" s="1"/>
  <c r="E22" i="4"/>
  <c r="E23" i="4" s="1"/>
  <c r="E24" i="4" s="1"/>
  <c r="E25" i="4" s="1"/>
  <c r="E26" i="4" s="1"/>
  <c r="E17" i="4"/>
  <c r="E18" i="4" s="1"/>
  <c r="E19" i="4" s="1"/>
  <c r="E20" i="4" s="1"/>
  <c r="E21" i="4" s="1"/>
  <c r="E12" i="4"/>
  <c r="E13" i="4" s="1"/>
  <c r="E14" i="4" s="1"/>
  <c r="E15" i="4" s="1"/>
  <c r="E16" i="4" s="1"/>
  <c r="E7" i="4"/>
  <c r="E8" i="4" s="1"/>
  <c r="E9" i="4" s="1"/>
  <c r="E10" i="4" s="1"/>
  <c r="E11" i="4" s="1"/>
  <c r="E261" i="3"/>
  <c r="E3" i="4" s="1"/>
  <c r="E4" i="4" s="1"/>
  <c r="E5" i="4" s="1"/>
  <c r="E6" i="4" s="1"/>
  <c r="E256" i="3"/>
  <c r="E257" i="3" s="1"/>
  <c r="E258" i="3" s="1"/>
  <c r="E259" i="3" s="1"/>
  <c r="E260" i="3" s="1"/>
  <c r="E251" i="3"/>
  <c r="E252" i="3" s="1"/>
  <c r="E253" i="3" s="1"/>
  <c r="E254" i="3" s="1"/>
  <c r="E255" i="3" s="1"/>
  <c r="E246" i="3"/>
  <c r="E247" i="3" s="1"/>
  <c r="E248" i="3" s="1"/>
  <c r="E249" i="3" s="1"/>
  <c r="E250" i="3" s="1"/>
  <c r="E241" i="3"/>
  <c r="E242" i="3" s="1"/>
  <c r="E243" i="3" s="1"/>
  <c r="E244" i="3" s="1"/>
  <c r="E245" i="3" s="1"/>
  <c r="E236" i="3"/>
  <c r="E237" i="3" s="1"/>
  <c r="E238" i="3" s="1"/>
  <c r="E239" i="3" s="1"/>
  <c r="E240" i="3" s="1"/>
  <c r="E231" i="3"/>
  <c r="E232" i="3" s="1"/>
  <c r="E233" i="3" s="1"/>
  <c r="E234" i="3" s="1"/>
  <c r="E235" i="3" s="1"/>
  <c r="E226" i="3"/>
  <c r="E227" i="3" s="1"/>
  <c r="E228" i="3" s="1"/>
  <c r="E229" i="3" s="1"/>
  <c r="E230" i="3" s="1"/>
  <c r="E221" i="3"/>
  <c r="E222" i="3" s="1"/>
  <c r="E223" i="3" s="1"/>
  <c r="E224" i="3" s="1"/>
  <c r="E225" i="3" s="1"/>
  <c r="E216" i="3"/>
  <c r="E217" i="3" s="1"/>
  <c r="E218" i="3" s="1"/>
  <c r="E219" i="3" s="1"/>
  <c r="E220" i="3" s="1"/>
  <c r="E211" i="3"/>
  <c r="E212" i="3" s="1"/>
  <c r="E213" i="3" s="1"/>
  <c r="E214" i="3" s="1"/>
  <c r="E215" i="3" s="1"/>
  <c r="E206" i="3"/>
  <c r="E207" i="3" s="1"/>
  <c r="E208" i="3" s="1"/>
  <c r="E209" i="3" s="1"/>
  <c r="E210" i="3" s="1"/>
  <c r="E201" i="3"/>
  <c r="E202" i="3" s="1"/>
  <c r="E203" i="3" s="1"/>
  <c r="E204" i="3" s="1"/>
  <c r="E205" i="3" s="1"/>
  <c r="E196" i="3"/>
  <c r="E197" i="3" s="1"/>
  <c r="E198" i="3" s="1"/>
  <c r="E199" i="3" s="1"/>
  <c r="E200" i="3" s="1"/>
  <c r="E191" i="3"/>
  <c r="E192" i="3" s="1"/>
  <c r="E193" i="3" s="1"/>
  <c r="E194" i="3" s="1"/>
  <c r="E195" i="3" s="1"/>
  <c r="E186" i="3"/>
  <c r="E187" i="3" s="1"/>
  <c r="E188" i="3" s="1"/>
  <c r="E189" i="3" s="1"/>
  <c r="E190" i="3" s="1"/>
  <c r="E181" i="3"/>
  <c r="E182" i="3" s="1"/>
  <c r="E183" i="3" s="1"/>
  <c r="E184" i="3" s="1"/>
  <c r="E185" i="3" s="1"/>
  <c r="E176" i="3"/>
  <c r="E177" i="3" s="1"/>
  <c r="E178" i="3" s="1"/>
  <c r="E179" i="3" s="1"/>
  <c r="E180" i="3" s="1"/>
  <c r="E171" i="3"/>
  <c r="E172" i="3" s="1"/>
  <c r="E173" i="3" s="1"/>
  <c r="E174" i="3" s="1"/>
  <c r="E175" i="3" s="1"/>
  <c r="E166" i="3"/>
  <c r="E167" i="3" s="1"/>
  <c r="E168" i="3" s="1"/>
  <c r="E169" i="3" s="1"/>
  <c r="E170" i="3" s="1"/>
  <c r="E161" i="3"/>
  <c r="E162" i="3" s="1"/>
  <c r="E163" i="3" s="1"/>
  <c r="E164" i="3" s="1"/>
  <c r="E165" i="3" s="1"/>
  <c r="E156" i="3"/>
  <c r="E157" i="3" s="1"/>
  <c r="E158" i="3" s="1"/>
  <c r="E159" i="3" s="1"/>
  <c r="E160" i="3" s="1"/>
  <c r="E151" i="3"/>
  <c r="E152" i="3" s="1"/>
  <c r="E153" i="3" s="1"/>
  <c r="E154" i="3" s="1"/>
  <c r="E155" i="3" s="1"/>
  <c r="E146" i="3"/>
  <c r="E147" i="3" s="1"/>
  <c r="E148" i="3" s="1"/>
  <c r="E149" i="3" s="1"/>
  <c r="E150" i="3" s="1"/>
  <c r="E141" i="3"/>
  <c r="E142" i="3" s="1"/>
  <c r="E143" i="3" s="1"/>
  <c r="E144" i="3" s="1"/>
  <c r="E145" i="3" s="1"/>
  <c r="E136" i="3"/>
  <c r="E137" i="3" s="1"/>
  <c r="E138" i="3" s="1"/>
  <c r="E139" i="3" s="1"/>
  <c r="E140" i="3" s="1"/>
  <c r="E131" i="3"/>
  <c r="E132" i="3" s="1"/>
  <c r="E133" i="3" s="1"/>
  <c r="E134" i="3" s="1"/>
  <c r="E135" i="3" s="1"/>
  <c r="E126" i="3"/>
  <c r="E127" i="3" s="1"/>
  <c r="E128" i="3" s="1"/>
  <c r="E129" i="3" s="1"/>
  <c r="E130" i="3" s="1"/>
  <c r="E121" i="3"/>
  <c r="E122" i="3" s="1"/>
  <c r="E123" i="3" s="1"/>
  <c r="E124" i="3" s="1"/>
  <c r="E125" i="3" s="1"/>
  <c r="E116" i="3"/>
  <c r="E117" i="3" s="1"/>
  <c r="E118" i="3" s="1"/>
  <c r="E119" i="3" s="1"/>
  <c r="E120" i="3" s="1"/>
  <c r="E111" i="3"/>
  <c r="E112" i="3" s="1"/>
  <c r="E113" i="3" s="1"/>
  <c r="E114" i="3" s="1"/>
  <c r="E115" i="3" s="1"/>
  <c r="E106" i="3"/>
  <c r="E107" i="3" s="1"/>
  <c r="E108" i="3" s="1"/>
  <c r="E109" i="3" s="1"/>
  <c r="E110" i="3" s="1"/>
  <c r="E101" i="3"/>
  <c r="E102" i="3" s="1"/>
  <c r="E103" i="3" s="1"/>
  <c r="E104" i="3" s="1"/>
  <c r="E105" i="3" s="1"/>
  <c r="E96" i="3"/>
  <c r="E97" i="3" s="1"/>
  <c r="E98" i="3" s="1"/>
  <c r="E99" i="3" s="1"/>
  <c r="E100" i="3" s="1"/>
  <c r="E91" i="3"/>
  <c r="E92" i="3" s="1"/>
  <c r="E93" i="3" s="1"/>
  <c r="E94" i="3" s="1"/>
  <c r="E95" i="3" s="1"/>
  <c r="E86" i="3"/>
  <c r="E87" i="3" s="1"/>
  <c r="E88" i="3" s="1"/>
  <c r="E89" i="3" s="1"/>
  <c r="E90" i="3" s="1"/>
  <c r="E81" i="3"/>
  <c r="E82" i="3" s="1"/>
  <c r="E83" i="3" s="1"/>
  <c r="E84" i="3" s="1"/>
  <c r="E85" i="3" s="1"/>
  <c r="E76" i="3"/>
  <c r="E77" i="3" s="1"/>
  <c r="E78" i="3" s="1"/>
  <c r="E79" i="3" s="1"/>
  <c r="E80" i="3" s="1"/>
  <c r="E71" i="3"/>
  <c r="E72" i="3" s="1"/>
  <c r="E73" i="3" s="1"/>
  <c r="E74" i="3" s="1"/>
  <c r="E75" i="3" s="1"/>
  <c r="E66" i="3"/>
  <c r="E67" i="3" s="1"/>
  <c r="E68" i="3" s="1"/>
  <c r="E69" i="3" s="1"/>
  <c r="E70" i="3" s="1"/>
  <c r="E62" i="3"/>
  <c r="E63" i="3" s="1"/>
  <c r="E64" i="3" s="1"/>
  <c r="E65" i="3" s="1"/>
  <c r="E57" i="3"/>
  <c r="E58" i="3" s="1"/>
  <c r="E59" i="3" s="1"/>
  <c r="E60" i="3" s="1"/>
  <c r="E61" i="3" s="1"/>
  <c r="E52" i="3"/>
  <c r="E53" i="3" s="1"/>
  <c r="E54" i="3" s="1"/>
  <c r="E55" i="3" s="1"/>
  <c r="E56" i="3" s="1"/>
  <c r="E47" i="3"/>
  <c r="E48" i="3" s="1"/>
  <c r="E49" i="3" s="1"/>
  <c r="E50" i="3" s="1"/>
  <c r="E51" i="3" s="1"/>
  <c r="E42" i="3"/>
  <c r="E43" i="3" s="1"/>
  <c r="E44" i="3" s="1"/>
  <c r="E45" i="3" s="1"/>
  <c r="E46" i="3" s="1"/>
  <c r="E37" i="3"/>
  <c r="E38" i="3" s="1"/>
  <c r="E39" i="3" s="1"/>
  <c r="E40" i="3" s="1"/>
  <c r="E41" i="3" s="1"/>
  <c r="E32" i="3"/>
  <c r="E33" i="3" s="1"/>
  <c r="E34" i="3" s="1"/>
  <c r="E35" i="3" s="1"/>
  <c r="E36" i="3" s="1"/>
  <c r="E27" i="3"/>
  <c r="E28" i="3" s="1"/>
  <c r="E29" i="3" s="1"/>
  <c r="E30" i="3" s="1"/>
  <c r="E31" i="3" s="1"/>
  <c r="E22" i="3"/>
  <c r="E23" i="3" s="1"/>
  <c r="E24" i="3" s="1"/>
  <c r="E25" i="3" s="1"/>
  <c r="E26" i="3" s="1"/>
  <c r="E17" i="3"/>
  <c r="E18" i="3" s="1"/>
  <c r="E19" i="3" s="1"/>
  <c r="E20" i="3" s="1"/>
  <c r="E21" i="3" s="1"/>
  <c r="E12" i="3"/>
  <c r="E13" i="3" s="1"/>
  <c r="E14" i="3" s="1"/>
  <c r="E15" i="3" s="1"/>
  <c r="E16" i="3" s="1"/>
  <c r="E7" i="3"/>
  <c r="E8" i="3" s="1"/>
  <c r="E9" i="3" s="1"/>
  <c r="E10" i="3" s="1"/>
  <c r="E11" i="3" s="1"/>
  <c r="E4" i="2"/>
  <c r="E5" i="2" s="1"/>
  <c r="E6" i="2" s="1"/>
  <c r="E7" i="2" s="1"/>
  <c r="E8" i="2"/>
  <c r="E13" i="2"/>
  <c r="E14" i="2" s="1"/>
  <c r="E15" i="2" s="1"/>
  <c r="E16" i="2" s="1"/>
  <c r="E17" i="2" s="1"/>
  <c r="E18" i="2"/>
  <c r="E19" i="2" s="1"/>
  <c r="E20" i="2" s="1"/>
  <c r="E21" i="2" s="1"/>
  <c r="E22" i="2" s="1"/>
  <c r="E23" i="2"/>
  <c r="E24" i="2" s="1"/>
  <c r="E25" i="2" s="1"/>
  <c r="E26" i="2" s="1"/>
  <c r="E27" i="2"/>
  <c r="E28" i="2" s="1"/>
  <c r="E29" i="2" s="1"/>
  <c r="E30" i="2" s="1"/>
  <c r="E31" i="2" s="1"/>
  <c r="E32" i="2" s="1"/>
  <c r="E33" i="2"/>
  <c r="E34" i="2" s="1"/>
  <c r="E35" i="2" s="1"/>
  <c r="E36" i="2" s="1"/>
  <c r="E37" i="2" s="1"/>
  <c r="E38" i="2"/>
  <c r="E39" i="2" s="1"/>
  <c r="E40" i="2" s="1"/>
  <c r="E41" i="2" s="1"/>
  <c r="E42" i="2"/>
  <c r="E43" i="2" s="1"/>
  <c r="E44" i="2" s="1"/>
  <c r="E45" i="2" s="1"/>
  <c r="E46" i="2" s="1"/>
  <c r="E47" i="2"/>
  <c r="E48" i="2" s="1"/>
  <c r="E49" i="2" s="1"/>
  <c r="E50" i="2" s="1"/>
  <c r="E51" i="2" s="1"/>
  <c r="E52" i="2"/>
  <c r="E53" i="2" s="1"/>
  <c r="E54" i="2" s="1"/>
  <c r="E55" i="2" s="1"/>
  <c r="E56" i="2" s="1"/>
  <c r="E57" i="2"/>
  <c r="E58" i="2" s="1"/>
  <c r="E59" i="2" s="1"/>
  <c r="E60" i="2" s="1"/>
  <c r="E61" i="2" s="1"/>
  <c r="E62" i="2"/>
  <c r="E63" i="2" s="1"/>
  <c r="E64" i="2" s="1"/>
  <c r="E65" i="2" s="1"/>
  <c r="E66" i="2" s="1"/>
  <c r="E67" i="2"/>
  <c r="E68" i="2" s="1"/>
  <c r="E69" i="2" s="1"/>
  <c r="E70" i="2" s="1"/>
  <c r="E71" i="2" s="1"/>
  <c r="E72" i="2"/>
  <c r="E73" i="2" s="1"/>
  <c r="E74" i="2" s="1"/>
  <c r="E75" i="2" s="1"/>
  <c r="E76" i="2" s="1"/>
  <c r="E77" i="2"/>
  <c r="E78" i="2" s="1"/>
  <c r="E79" i="2" s="1"/>
  <c r="E80" i="2" s="1"/>
  <c r="E81" i="2" s="1"/>
  <c r="E82" i="2"/>
  <c r="E83" i="2" s="1"/>
  <c r="E84" i="2" s="1"/>
  <c r="E85" i="2" s="1"/>
  <c r="E86" i="2" s="1"/>
  <c r="E87" i="2"/>
  <c r="E88" i="2" s="1"/>
  <c r="E89" i="2" s="1"/>
  <c r="E90" i="2" s="1"/>
  <c r="E91" i="2" s="1"/>
  <c r="E92" i="2"/>
  <c r="E93" i="2" s="1"/>
  <c r="E94" i="2" s="1"/>
  <c r="E95" i="2" s="1"/>
  <c r="E96" i="2" s="1"/>
  <c r="E97" i="2"/>
  <c r="E98" i="2" s="1"/>
  <c r="E99" i="2" s="1"/>
  <c r="E100" i="2" s="1"/>
  <c r="E101" i="2" s="1"/>
  <c r="E102" i="2"/>
  <c r="E103" i="2" s="1"/>
  <c r="E104" i="2" s="1"/>
  <c r="E105" i="2" s="1"/>
  <c r="E106" i="2" s="1"/>
  <c r="E107" i="2"/>
  <c r="E108" i="2" s="1"/>
  <c r="E109" i="2" s="1"/>
  <c r="E110" i="2" s="1"/>
  <c r="E111" i="2" s="1"/>
  <c r="E112" i="2"/>
  <c r="E113" i="2" s="1"/>
  <c r="E114" i="2" s="1"/>
  <c r="E115" i="2" s="1"/>
  <c r="E116" i="2" s="1"/>
  <c r="E117" i="2"/>
  <c r="E118" i="2" s="1"/>
  <c r="E119" i="2" s="1"/>
  <c r="E120" i="2" s="1"/>
  <c r="E121" i="2" s="1"/>
  <c r="E122" i="2"/>
  <c r="E123" i="2" s="1"/>
  <c r="E124" i="2" s="1"/>
  <c r="E125" i="2" s="1"/>
  <c r="E126" i="2" s="1"/>
  <c r="E127" i="2"/>
  <c r="E128" i="2" s="1"/>
  <c r="E129" i="2" s="1"/>
  <c r="E130" i="2" s="1"/>
  <c r="E131" i="2" s="1"/>
  <c r="E132" i="2"/>
  <c r="E133" i="2" s="1"/>
  <c r="E134" i="2" s="1"/>
  <c r="E135" i="2" s="1"/>
  <c r="E136" i="2" s="1"/>
  <c r="E137" i="2"/>
  <c r="E138" i="2" s="1"/>
  <c r="E139" i="2" s="1"/>
  <c r="E140" i="2" s="1"/>
  <c r="E141" i="2" s="1"/>
  <c r="E142" i="2"/>
  <c r="E143" i="2" s="1"/>
  <c r="E144" i="2" s="1"/>
  <c r="E145" i="2" s="1"/>
  <c r="E146" i="2" s="1"/>
  <c r="E147" i="2"/>
  <c r="E148" i="2" s="1"/>
  <c r="E149" i="2" s="1"/>
  <c r="E150" i="2" s="1"/>
  <c r="E151" i="2" s="1"/>
  <c r="E152" i="2"/>
  <c r="E153" i="2" s="1"/>
  <c r="E154" i="2" s="1"/>
  <c r="E155" i="2" s="1"/>
  <c r="E156" i="2" s="1"/>
  <c r="E157" i="2"/>
  <c r="E158" i="2" s="1"/>
  <c r="E159" i="2" s="1"/>
  <c r="E160" i="2" s="1"/>
  <c r="E161" i="2" s="1"/>
  <c r="E162" i="2"/>
  <c r="E163" i="2" s="1"/>
  <c r="E164" i="2" s="1"/>
  <c r="E165" i="2" s="1"/>
  <c r="E166" i="2" s="1"/>
  <c r="E167" i="2"/>
  <c r="E168" i="2" s="1"/>
  <c r="E169" i="2" s="1"/>
  <c r="E170" i="2" s="1"/>
  <c r="E171" i="2" s="1"/>
  <c r="E172" i="2"/>
  <c r="E173" i="2" s="1"/>
  <c r="E174" i="2" s="1"/>
  <c r="E175" i="2" s="1"/>
  <c r="E176" i="2" s="1"/>
  <c r="E177" i="2"/>
  <c r="E178" i="2" s="1"/>
  <c r="E179" i="2" s="1"/>
  <c r="E180" i="2" s="1"/>
  <c r="E181" i="2" s="1"/>
  <c r="E182" i="2"/>
  <c r="E183" i="2" s="1"/>
  <c r="E184" i="2" s="1"/>
  <c r="E185" i="2" s="1"/>
  <c r="E186" i="2" s="1"/>
  <c r="E187" i="2"/>
  <c r="E188" i="2" s="1"/>
  <c r="E189" i="2" s="1"/>
  <c r="E190" i="2" s="1"/>
  <c r="E191" i="2"/>
  <c r="E192" i="2" s="1"/>
  <c r="E193" i="2" s="1"/>
  <c r="E194" i="2" s="1"/>
  <c r="E195" i="2"/>
  <c r="E3" i="3" s="1"/>
  <c r="E4" i="3" s="1"/>
  <c r="E5" i="3" s="1"/>
  <c r="E6" i="3" s="1"/>
  <c r="E3" i="2"/>
  <c r="E9" i="2"/>
  <c r="E10" i="2" s="1"/>
  <c r="E11" i="2" s="1"/>
  <c r="E12" i="2" s="1"/>
  <c r="A1" i="2"/>
  <c r="A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<sst xmlns="http://schemas.openxmlformats.org/spreadsheetml/2006/main" count="55" uniqueCount="7">
  <si>
    <t>Coal Richards Bay 4800kcal NAR fob, London close, USD/t</t>
  </si>
  <si>
    <t>Coal Richards Bay 5500kcal NAR fob, London close, USD/t</t>
  </si>
  <si>
    <t>Coal Richards Bay 5700kcal NAR fob, London close, USD/t</t>
  </si>
  <si>
    <t>Coal India 5500kcal NAR cfr, London close, USD/t</t>
  </si>
  <si>
    <t>Date</t>
  </si>
  <si>
    <t>Price</t>
  </si>
  <si>
    <t>Coal Richards Bay 6000kcal NAR fob current week avg, No time stamp, USD/t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</si>
</sst>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d\ mmm\ yyyy"/>
    <numFmt numFmtId="166" formatCode="_(* #,##0_);_(* \(#,##0\);_(* &quot;-&quot;??_);_(@_)"/>
    <numFmt numFmtId="167" formatCode="#,##0.000"/>
  </numFmts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E5A62"/>
      </patternFill>
    </fill>
    <fill>
      <patternFill patternType="solid">
        <fgColor rgb="FFF3F5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2">
    <xf numFmtId="0" fontId="0" fillId="0" borderId="0" applyBorder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5" fontId="0" fillId="0" borderId="2" xfId="0" applyNumberFormat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166" fontId="0" fillId="0" borderId="2" xfId="1" applyNumberFormat="1" applyFont="1" applyBorder="1" applyAlignment="1">
      <alignment horizontal="center"/>
    </xf>
    <xf numFmtId="166" fontId="0" fillId="3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d.secretariat\Downloads\Argus%20Historical%20Prices%206000.xlsx" TargetMode="External"/><Relationship Id="rId1" Type="http://schemas.openxmlformats.org/officeDocument/2006/relationships/externalLinkPath" Target="file:///C:\Users\cmd.secretariat\Downloads\Argus%20Historical%20Prices%20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 History"/>
    </sheetNames>
    <sheetDataSet>
      <sheetData sheetId="0" refreshError="1">
        <row r="3">
          <cell r="A3">
            <v>45289</v>
          </cell>
          <cell r="K3">
            <v>97.56</v>
          </cell>
        </row>
        <row r="4">
          <cell r="A4">
            <v>45288</v>
          </cell>
          <cell r="K4"/>
        </row>
        <row r="5">
          <cell r="A5">
            <v>45287</v>
          </cell>
          <cell r="K5"/>
        </row>
        <row r="6">
          <cell r="A6">
            <v>45282</v>
          </cell>
          <cell r="K6">
            <v>97.99</v>
          </cell>
        </row>
        <row r="7">
          <cell r="A7">
            <v>45281</v>
          </cell>
          <cell r="K7"/>
        </row>
        <row r="8">
          <cell r="A8">
            <v>45280</v>
          </cell>
          <cell r="K8"/>
        </row>
        <row r="9">
          <cell r="A9">
            <v>45279</v>
          </cell>
          <cell r="K9"/>
        </row>
        <row r="10">
          <cell r="A10">
            <v>45278</v>
          </cell>
          <cell r="K10"/>
        </row>
        <row r="11">
          <cell r="A11">
            <v>45275</v>
          </cell>
          <cell r="K11">
            <v>99.81</v>
          </cell>
        </row>
        <row r="12">
          <cell r="A12">
            <v>45274</v>
          </cell>
          <cell r="K12"/>
        </row>
        <row r="13">
          <cell r="A13">
            <v>45273</v>
          </cell>
          <cell r="K13"/>
        </row>
        <row r="14">
          <cell r="A14">
            <v>45272</v>
          </cell>
          <cell r="K14"/>
        </row>
        <row r="15">
          <cell r="A15">
            <v>45271</v>
          </cell>
          <cell r="K15"/>
        </row>
        <row r="16">
          <cell r="A16">
            <v>45268</v>
          </cell>
          <cell r="K16">
            <v>101.73</v>
          </cell>
        </row>
        <row r="17">
          <cell r="A17">
            <v>45267</v>
          </cell>
          <cell r="K17"/>
        </row>
        <row r="18">
          <cell r="A18">
            <v>45266</v>
          </cell>
          <cell r="K18"/>
        </row>
        <row r="19">
          <cell r="A19">
            <v>45265</v>
          </cell>
          <cell r="K19"/>
        </row>
        <row r="20">
          <cell r="A20">
            <v>45264</v>
          </cell>
          <cell r="K20"/>
        </row>
        <row r="21">
          <cell r="A21">
            <v>45261</v>
          </cell>
          <cell r="K21">
            <v>104.96</v>
          </cell>
        </row>
        <row r="22">
          <cell r="A22">
            <v>45260</v>
          </cell>
          <cell r="K22"/>
        </row>
        <row r="23">
          <cell r="A23">
            <v>45259</v>
          </cell>
          <cell r="K23"/>
        </row>
        <row r="24">
          <cell r="A24">
            <v>45258</v>
          </cell>
          <cell r="K24"/>
        </row>
        <row r="25">
          <cell r="A25">
            <v>45257</v>
          </cell>
          <cell r="K25"/>
        </row>
        <row r="26">
          <cell r="A26">
            <v>45254</v>
          </cell>
          <cell r="K26">
            <v>109.99</v>
          </cell>
        </row>
        <row r="27">
          <cell r="A27">
            <v>45252</v>
          </cell>
          <cell r="K27"/>
        </row>
        <row r="28">
          <cell r="A28">
            <v>45251</v>
          </cell>
          <cell r="K28"/>
        </row>
        <row r="29">
          <cell r="A29">
            <v>45250</v>
          </cell>
          <cell r="K29"/>
        </row>
        <row r="30">
          <cell r="A30">
            <v>45247</v>
          </cell>
          <cell r="K30">
            <v>110.41</v>
          </cell>
        </row>
        <row r="31">
          <cell r="A31">
            <v>45246</v>
          </cell>
          <cell r="K31"/>
        </row>
        <row r="32">
          <cell r="A32">
            <v>45245</v>
          </cell>
          <cell r="K32"/>
        </row>
        <row r="33">
          <cell r="A33">
            <v>45244</v>
          </cell>
          <cell r="K33"/>
        </row>
        <row r="34">
          <cell r="A34">
            <v>45243</v>
          </cell>
          <cell r="K34"/>
        </row>
        <row r="35">
          <cell r="A35">
            <v>45240</v>
          </cell>
          <cell r="K35">
            <v>116.69</v>
          </cell>
        </row>
        <row r="36">
          <cell r="A36">
            <v>45239</v>
          </cell>
          <cell r="K36"/>
        </row>
        <row r="37">
          <cell r="A37">
            <v>45238</v>
          </cell>
          <cell r="K37"/>
        </row>
        <row r="38">
          <cell r="A38">
            <v>45237</v>
          </cell>
          <cell r="K38"/>
        </row>
        <row r="39">
          <cell r="A39">
            <v>45236</v>
          </cell>
          <cell r="K39"/>
        </row>
        <row r="40">
          <cell r="A40">
            <v>45233</v>
          </cell>
          <cell r="K40">
            <v>122.27</v>
          </cell>
        </row>
        <row r="41">
          <cell r="A41">
            <v>45232</v>
          </cell>
          <cell r="K41"/>
        </row>
        <row r="42">
          <cell r="A42">
            <v>45231</v>
          </cell>
          <cell r="K42"/>
        </row>
        <row r="43">
          <cell r="A43">
            <v>45230</v>
          </cell>
          <cell r="K43"/>
        </row>
        <row r="44">
          <cell r="A44">
            <v>45229</v>
          </cell>
          <cell r="K44"/>
        </row>
        <row r="45">
          <cell r="A45">
            <v>45226</v>
          </cell>
          <cell r="K45">
            <v>126.8</v>
          </cell>
        </row>
        <row r="46">
          <cell r="A46">
            <v>45225</v>
          </cell>
          <cell r="K46"/>
        </row>
        <row r="47">
          <cell r="A47">
            <v>45224</v>
          </cell>
          <cell r="K47"/>
        </row>
        <row r="48">
          <cell r="A48">
            <v>45223</v>
          </cell>
          <cell r="K48"/>
        </row>
        <row r="49">
          <cell r="A49">
            <v>45222</v>
          </cell>
          <cell r="K49"/>
        </row>
        <row r="50">
          <cell r="A50">
            <v>45219</v>
          </cell>
          <cell r="K50">
            <v>134.72999999999999</v>
          </cell>
        </row>
        <row r="51">
          <cell r="A51">
            <v>45218</v>
          </cell>
          <cell r="K51"/>
        </row>
        <row r="52">
          <cell r="A52">
            <v>45217</v>
          </cell>
          <cell r="K52"/>
        </row>
        <row r="53">
          <cell r="A53">
            <v>45216</v>
          </cell>
          <cell r="K53"/>
        </row>
        <row r="54">
          <cell r="A54">
            <v>45215</v>
          </cell>
          <cell r="K54"/>
        </row>
        <row r="55">
          <cell r="A55">
            <v>45212</v>
          </cell>
          <cell r="K55">
            <v>133.41</v>
          </cell>
        </row>
        <row r="56">
          <cell r="A56">
            <v>45211</v>
          </cell>
          <cell r="K56"/>
        </row>
        <row r="57">
          <cell r="A57">
            <v>45210</v>
          </cell>
          <cell r="K57"/>
        </row>
        <row r="58">
          <cell r="A58">
            <v>45209</v>
          </cell>
          <cell r="K58"/>
        </row>
        <row r="59">
          <cell r="A59">
            <v>45208</v>
          </cell>
          <cell r="K59"/>
        </row>
        <row r="60">
          <cell r="A60">
            <v>45205</v>
          </cell>
          <cell r="K60">
            <v>125.44</v>
          </cell>
        </row>
        <row r="61">
          <cell r="A61">
            <v>45204</v>
          </cell>
          <cell r="K61"/>
        </row>
        <row r="62">
          <cell r="A62">
            <v>45203</v>
          </cell>
          <cell r="K62"/>
        </row>
        <row r="63">
          <cell r="A63">
            <v>45202</v>
          </cell>
          <cell r="K63"/>
        </row>
        <row r="64">
          <cell r="A64">
            <v>45201</v>
          </cell>
          <cell r="K64"/>
        </row>
        <row r="65">
          <cell r="A65">
            <v>45198</v>
          </cell>
          <cell r="K65">
            <v>133.79</v>
          </cell>
        </row>
        <row r="66">
          <cell r="A66">
            <v>45197</v>
          </cell>
          <cell r="K66"/>
        </row>
        <row r="67">
          <cell r="A67">
            <v>45196</v>
          </cell>
          <cell r="K67"/>
        </row>
        <row r="68">
          <cell r="A68">
            <v>45195</v>
          </cell>
          <cell r="K68"/>
        </row>
        <row r="69">
          <cell r="A69">
            <v>45194</v>
          </cell>
          <cell r="K69"/>
        </row>
        <row r="70">
          <cell r="A70">
            <v>45191</v>
          </cell>
          <cell r="K70">
            <v>131.77000000000001</v>
          </cell>
        </row>
        <row r="71">
          <cell r="A71">
            <v>45190</v>
          </cell>
          <cell r="K71"/>
        </row>
        <row r="72">
          <cell r="A72">
            <v>45189</v>
          </cell>
          <cell r="K72"/>
        </row>
        <row r="73">
          <cell r="A73">
            <v>45188</v>
          </cell>
          <cell r="K73"/>
        </row>
        <row r="74">
          <cell r="A74">
            <v>45187</v>
          </cell>
          <cell r="K74"/>
        </row>
        <row r="75">
          <cell r="A75">
            <v>45184</v>
          </cell>
          <cell r="K75">
            <v>122.34</v>
          </cell>
        </row>
        <row r="76">
          <cell r="A76">
            <v>45183</v>
          </cell>
          <cell r="K76"/>
        </row>
        <row r="77">
          <cell r="A77">
            <v>45182</v>
          </cell>
          <cell r="K77"/>
        </row>
        <row r="78">
          <cell r="A78">
            <v>45181</v>
          </cell>
          <cell r="K78"/>
        </row>
        <row r="79">
          <cell r="A79">
            <v>45180</v>
          </cell>
          <cell r="K79"/>
        </row>
        <row r="80">
          <cell r="A80">
            <v>45177</v>
          </cell>
          <cell r="K80">
            <v>115.37</v>
          </cell>
        </row>
        <row r="81">
          <cell r="A81">
            <v>45176</v>
          </cell>
          <cell r="K81"/>
        </row>
        <row r="82">
          <cell r="A82">
            <v>45175</v>
          </cell>
          <cell r="K82"/>
        </row>
        <row r="83">
          <cell r="A83">
            <v>45174</v>
          </cell>
          <cell r="K83"/>
        </row>
        <row r="84">
          <cell r="A84">
            <v>45170</v>
          </cell>
          <cell r="K84">
            <v>112.63</v>
          </cell>
        </row>
        <row r="85">
          <cell r="A85">
            <v>45169</v>
          </cell>
          <cell r="K85"/>
        </row>
        <row r="86">
          <cell r="A86">
            <v>45168</v>
          </cell>
          <cell r="K86"/>
        </row>
        <row r="87">
          <cell r="A87">
            <v>45167</v>
          </cell>
          <cell r="K87"/>
        </row>
        <row r="88">
          <cell r="A88">
            <v>45163</v>
          </cell>
          <cell r="K88">
            <v>120.33</v>
          </cell>
        </row>
        <row r="89">
          <cell r="A89">
            <v>45162</v>
          </cell>
          <cell r="K89"/>
        </row>
        <row r="90">
          <cell r="A90">
            <v>45161</v>
          </cell>
          <cell r="K90"/>
        </row>
        <row r="91">
          <cell r="A91">
            <v>45160</v>
          </cell>
          <cell r="K91"/>
        </row>
        <row r="92">
          <cell r="A92">
            <v>45159</v>
          </cell>
          <cell r="K92"/>
        </row>
        <row r="93">
          <cell r="A93">
            <v>45156</v>
          </cell>
          <cell r="K93">
            <v>115.63</v>
          </cell>
        </row>
        <row r="94">
          <cell r="A94">
            <v>45155</v>
          </cell>
          <cell r="K94"/>
        </row>
        <row r="95">
          <cell r="A95">
            <v>45154</v>
          </cell>
          <cell r="K95"/>
        </row>
        <row r="96">
          <cell r="A96">
            <v>45153</v>
          </cell>
          <cell r="K96"/>
        </row>
        <row r="97">
          <cell r="A97">
            <v>45152</v>
          </cell>
          <cell r="K97"/>
        </row>
        <row r="98">
          <cell r="A98">
            <v>45149</v>
          </cell>
          <cell r="K98">
            <v>111.3</v>
          </cell>
        </row>
        <row r="99">
          <cell r="A99">
            <v>45148</v>
          </cell>
          <cell r="K99"/>
        </row>
        <row r="100">
          <cell r="A100">
            <v>45147</v>
          </cell>
          <cell r="K100"/>
        </row>
        <row r="101">
          <cell r="A101">
            <v>45146</v>
          </cell>
          <cell r="K101"/>
        </row>
        <row r="102">
          <cell r="A102">
            <v>45145</v>
          </cell>
          <cell r="K102"/>
        </row>
        <row r="103">
          <cell r="A103">
            <v>45142</v>
          </cell>
          <cell r="K103">
            <v>105.18</v>
          </cell>
        </row>
        <row r="104">
          <cell r="A104">
            <v>45141</v>
          </cell>
          <cell r="K104"/>
        </row>
        <row r="105">
          <cell r="A105">
            <v>45140</v>
          </cell>
          <cell r="K105"/>
        </row>
        <row r="106">
          <cell r="A106">
            <v>45139</v>
          </cell>
          <cell r="K106"/>
        </row>
        <row r="107">
          <cell r="A107">
            <v>45138</v>
          </cell>
          <cell r="K107"/>
        </row>
        <row r="108">
          <cell r="A108">
            <v>45135</v>
          </cell>
          <cell r="K108">
            <v>89.19</v>
          </cell>
        </row>
        <row r="109">
          <cell r="A109">
            <v>45134</v>
          </cell>
          <cell r="K109"/>
        </row>
        <row r="110">
          <cell r="A110">
            <v>45133</v>
          </cell>
          <cell r="K110"/>
        </row>
        <row r="111">
          <cell r="A111">
            <v>45132</v>
          </cell>
          <cell r="K111"/>
        </row>
        <row r="112">
          <cell r="A112">
            <v>45131</v>
          </cell>
          <cell r="K112"/>
        </row>
        <row r="113">
          <cell r="A113">
            <v>45128</v>
          </cell>
          <cell r="K113">
            <v>90.6</v>
          </cell>
        </row>
        <row r="114">
          <cell r="A114">
            <v>45127</v>
          </cell>
          <cell r="K114"/>
        </row>
        <row r="115">
          <cell r="A115">
            <v>45126</v>
          </cell>
          <cell r="K115"/>
        </row>
        <row r="116">
          <cell r="A116">
            <v>45125</v>
          </cell>
          <cell r="K116"/>
        </row>
        <row r="117">
          <cell r="A117">
            <v>45124</v>
          </cell>
          <cell r="K117"/>
        </row>
        <row r="118">
          <cell r="A118">
            <v>45121</v>
          </cell>
          <cell r="K118">
            <v>92.82</v>
          </cell>
        </row>
        <row r="119">
          <cell r="A119">
            <v>45120</v>
          </cell>
          <cell r="K119"/>
        </row>
        <row r="120">
          <cell r="A120">
            <v>45119</v>
          </cell>
          <cell r="K120"/>
        </row>
        <row r="121">
          <cell r="A121">
            <v>45118</v>
          </cell>
          <cell r="K121"/>
        </row>
        <row r="122">
          <cell r="A122">
            <v>45117</v>
          </cell>
          <cell r="K122"/>
        </row>
        <row r="123">
          <cell r="A123">
            <v>45114</v>
          </cell>
          <cell r="K123">
            <v>102.9</v>
          </cell>
        </row>
        <row r="124">
          <cell r="A124">
            <v>45113</v>
          </cell>
          <cell r="K124"/>
        </row>
        <row r="125">
          <cell r="A125">
            <v>45112</v>
          </cell>
          <cell r="K125"/>
        </row>
        <row r="126">
          <cell r="A126">
            <v>45107</v>
          </cell>
          <cell r="K126">
            <v>100.88</v>
          </cell>
        </row>
        <row r="127">
          <cell r="A127">
            <v>45106</v>
          </cell>
          <cell r="K127"/>
        </row>
        <row r="128">
          <cell r="A128">
            <v>45105</v>
          </cell>
          <cell r="K128"/>
        </row>
        <row r="129">
          <cell r="A129">
            <v>45104</v>
          </cell>
          <cell r="K129"/>
        </row>
        <row r="130">
          <cell r="A130">
            <v>45103</v>
          </cell>
          <cell r="K130"/>
        </row>
        <row r="131">
          <cell r="A131">
            <v>45100</v>
          </cell>
          <cell r="K131">
            <v>99.48</v>
          </cell>
        </row>
        <row r="132">
          <cell r="A132">
            <v>45099</v>
          </cell>
          <cell r="K132"/>
        </row>
        <row r="133">
          <cell r="A133">
            <v>45098</v>
          </cell>
          <cell r="K133"/>
        </row>
        <row r="134">
          <cell r="A134">
            <v>45097</v>
          </cell>
          <cell r="K134"/>
        </row>
        <row r="135">
          <cell r="A135">
            <v>45093</v>
          </cell>
          <cell r="K135">
            <v>100.86</v>
          </cell>
        </row>
        <row r="136">
          <cell r="A136">
            <v>45092</v>
          </cell>
          <cell r="K136"/>
        </row>
        <row r="137">
          <cell r="A137">
            <v>45091</v>
          </cell>
          <cell r="K137"/>
        </row>
        <row r="138">
          <cell r="A138">
            <v>45090</v>
          </cell>
          <cell r="K138"/>
        </row>
        <row r="139">
          <cell r="A139">
            <v>45089</v>
          </cell>
          <cell r="K139"/>
        </row>
        <row r="140">
          <cell r="A140">
            <v>45086</v>
          </cell>
          <cell r="K140">
            <v>100.6</v>
          </cell>
        </row>
        <row r="141">
          <cell r="A141">
            <v>45085</v>
          </cell>
          <cell r="K141"/>
        </row>
        <row r="142">
          <cell r="A142">
            <v>45084</v>
          </cell>
          <cell r="K142"/>
        </row>
        <row r="143">
          <cell r="A143">
            <v>45083</v>
          </cell>
          <cell r="K143"/>
        </row>
        <row r="144">
          <cell r="A144">
            <v>45082</v>
          </cell>
          <cell r="K144"/>
        </row>
        <row r="145">
          <cell r="A145">
            <v>45079</v>
          </cell>
          <cell r="K145">
            <v>96.72</v>
          </cell>
        </row>
        <row r="146">
          <cell r="A146">
            <v>45078</v>
          </cell>
          <cell r="K146"/>
        </row>
        <row r="147">
          <cell r="A147">
            <v>45077</v>
          </cell>
          <cell r="K147"/>
        </row>
        <row r="148">
          <cell r="A148">
            <v>45076</v>
          </cell>
          <cell r="K148"/>
        </row>
        <row r="149">
          <cell r="A149">
            <v>45072</v>
          </cell>
          <cell r="K149">
            <v>104.24</v>
          </cell>
        </row>
        <row r="150">
          <cell r="A150">
            <v>45071</v>
          </cell>
          <cell r="K150"/>
        </row>
        <row r="151">
          <cell r="A151">
            <v>45070</v>
          </cell>
          <cell r="K151"/>
        </row>
        <row r="152">
          <cell r="A152">
            <v>45069</v>
          </cell>
          <cell r="K152"/>
        </row>
        <row r="153">
          <cell r="A153">
            <v>45068</v>
          </cell>
          <cell r="K153"/>
        </row>
        <row r="154">
          <cell r="A154">
            <v>45065</v>
          </cell>
          <cell r="K154">
            <v>103.98</v>
          </cell>
        </row>
        <row r="155">
          <cell r="A155">
            <v>45064</v>
          </cell>
          <cell r="K155"/>
        </row>
        <row r="156">
          <cell r="A156">
            <v>45063</v>
          </cell>
          <cell r="K156"/>
        </row>
        <row r="157">
          <cell r="A157">
            <v>45062</v>
          </cell>
          <cell r="K157"/>
        </row>
        <row r="158">
          <cell r="A158">
            <v>45061</v>
          </cell>
          <cell r="K158"/>
        </row>
        <row r="159">
          <cell r="A159">
            <v>45058</v>
          </cell>
          <cell r="K159">
            <v>112.03</v>
          </cell>
        </row>
        <row r="160">
          <cell r="A160">
            <v>45057</v>
          </cell>
          <cell r="K160"/>
        </row>
        <row r="161">
          <cell r="A161">
            <v>45056</v>
          </cell>
          <cell r="K161"/>
        </row>
        <row r="162">
          <cell r="A162">
            <v>45055</v>
          </cell>
          <cell r="K162"/>
        </row>
        <row r="163">
          <cell r="A163">
            <v>45051</v>
          </cell>
          <cell r="K163">
            <v>122.63</v>
          </cell>
        </row>
        <row r="164">
          <cell r="A164">
            <v>45050</v>
          </cell>
          <cell r="K164"/>
        </row>
        <row r="165">
          <cell r="A165">
            <v>45049</v>
          </cell>
          <cell r="K165"/>
        </row>
        <row r="166">
          <cell r="A166">
            <v>45048</v>
          </cell>
          <cell r="K166"/>
        </row>
        <row r="167">
          <cell r="A167">
            <v>45044</v>
          </cell>
          <cell r="K167">
            <v>127.42</v>
          </cell>
        </row>
        <row r="168">
          <cell r="A168">
            <v>45043</v>
          </cell>
          <cell r="K168"/>
        </row>
        <row r="169">
          <cell r="A169">
            <v>45042</v>
          </cell>
          <cell r="K169"/>
        </row>
        <row r="170">
          <cell r="A170">
            <v>45041</v>
          </cell>
          <cell r="K170"/>
        </row>
        <row r="171">
          <cell r="A171">
            <v>45040</v>
          </cell>
          <cell r="K171"/>
        </row>
        <row r="172">
          <cell r="A172">
            <v>45037</v>
          </cell>
          <cell r="K172">
            <v>126.95</v>
          </cell>
        </row>
        <row r="173">
          <cell r="A173">
            <v>45036</v>
          </cell>
          <cell r="K173"/>
        </row>
        <row r="174">
          <cell r="A174">
            <v>45035</v>
          </cell>
          <cell r="K174"/>
        </row>
        <row r="175">
          <cell r="A175">
            <v>45034</v>
          </cell>
          <cell r="K175"/>
        </row>
        <row r="176">
          <cell r="A176">
            <v>45033</v>
          </cell>
          <cell r="K176"/>
        </row>
        <row r="177">
          <cell r="A177">
            <v>45030</v>
          </cell>
          <cell r="K177">
            <v>122.4</v>
          </cell>
        </row>
        <row r="178">
          <cell r="A178">
            <v>45029</v>
          </cell>
          <cell r="K178"/>
        </row>
        <row r="179">
          <cell r="A179">
            <v>45028</v>
          </cell>
          <cell r="K179"/>
        </row>
        <row r="180">
          <cell r="A180">
            <v>45027</v>
          </cell>
          <cell r="K180"/>
        </row>
        <row r="181">
          <cell r="A181">
            <v>45022</v>
          </cell>
          <cell r="K181">
            <v>133.76</v>
          </cell>
        </row>
        <row r="182">
          <cell r="A182">
            <v>45021</v>
          </cell>
          <cell r="K182"/>
        </row>
        <row r="183">
          <cell r="A183">
            <v>45020</v>
          </cell>
          <cell r="K183"/>
        </row>
        <row r="184">
          <cell r="A184">
            <v>45019</v>
          </cell>
          <cell r="K184"/>
        </row>
        <row r="185">
          <cell r="A185">
            <v>45016</v>
          </cell>
          <cell r="K185">
            <v>135.08000000000001</v>
          </cell>
        </row>
        <row r="186">
          <cell r="A186">
            <v>45015</v>
          </cell>
          <cell r="K186"/>
        </row>
        <row r="187">
          <cell r="A187">
            <v>45014</v>
          </cell>
          <cell r="K187"/>
        </row>
        <row r="188">
          <cell r="A188">
            <v>45013</v>
          </cell>
          <cell r="K188"/>
        </row>
        <row r="189">
          <cell r="A189">
            <v>45012</v>
          </cell>
          <cell r="K189"/>
        </row>
        <row r="190">
          <cell r="A190">
            <v>45009</v>
          </cell>
          <cell r="K190">
            <v>130.07</v>
          </cell>
        </row>
        <row r="191">
          <cell r="A191">
            <v>45008</v>
          </cell>
          <cell r="K191"/>
        </row>
        <row r="192">
          <cell r="A192">
            <v>45007</v>
          </cell>
          <cell r="K192"/>
        </row>
        <row r="193">
          <cell r="A193">
            <v>45006</v>
          </cell>
          <cell r="K193"/>
        </row>
        <row r="194">
          <cell r="A194">
            <v>45005</v>
          </cell>
          <cell r="K194"/>
        </row>
        <row r="195">
          <cell r="A195">
            <v>45002</v>
          </cell>
          <cell r="K195">
            <v>134.18</v>
          </cell>
        </row>
        <row r="196">
          <cell r="A196">
            <v>45001</v>
          </cell>
          <cell r="K196"/>
        </row>
        <row r="197">
          <cell r="A197">
            <v>45000</v>
          </cell>
          <cell r="K197"/>
        </row>
        <row r="198">
          <cell r="A198">
            <v>44999</v>
          </cell>
          <cell r="K198"/>
        </row>
        <row r="199">
          <cell r="A199">
            <v>44998</v>
          </cell>
          <cell r="K199"/>
        </row>
        <row r="200">
          <cell r="A200">
            <v>44995</v>
          </cell>
          <cell r="K200">
            <v>127.13</v>
          </cell>
        </row>
        <row r="201">
          <cell r="A201">
            <v>44994</v>
          </cell>
          <cell r="K201"/>
        </row>
        <row r="202">
          <cell r="A202">
            <v>44993</v>
          </cell>
          <cell r="K202"/>
        </row>
        <row r="203">
          <cell r="A203">
            <v>44992</v>
          </cell>
          <cell r="K203"/>
        </row>
        <row r="204">
          <cell r="A204">
            <v>44991</v>
          </cell>
          <cell r="K204"/>
        </row>
        <row r="205">
          <cell r="A205">
            <v>44988</v>
          </cell>
          <cell r="K205">
            <v>140.9</v>
          </cell>
        </row>
        <row r="206">
          <cell r="A206">
            <v>44987</v>
          </cell>
          <cell r="K206"/>
        </row>
        <row r="207">
          <cell r="A207">
            <v>44986</v>
          </cell>
          <cell r="K207"/>
        </row>
        <row r="208">
          <cell r="A208">
            <v>44985</v>
          </cell>
          <cell r="K208"/>
        </row>
        <row r="209">
          <cell r="A209">
            <v>44984</v>
          </cell>
          <cell r="K209"/>
        </row>
        <row r="210">
          <cell r="A210">
            <v>44981</v>
          </cell>
          <cell r="K210">
            <v>136.57</v>
          </cell>
        </row>
        <row r="211">
          <cell r="A211">
            <v>44980</v>
          </cell>
          <cell r="K211"/>
        </row>
        <row r="212">
          <cell r="A212">
            <v>44979</v>
          </cell>
          <cell r="K212"/>
        </row>
        <row r="213">
          <cell r="A213">
            <v>44978</v>
          </cell>
          <cell r="K213"/>
        </row>
        <row r="214">
          <cell r="A214">
            <v>44974</v>
          </cell>
          <cell r="K214">
            <v>136.87</v>
          </cell>
        </row>
        <row r="215">
          <cell r="A215">
            <v>44973</v>
          </cell>
          <cell r="K215"/>
        </row>
        <row r="216">
          <cell r="A216">
            <v>44972</v>
          </cell>
          <cell r="K216"/>
        </row>
        <row r="217">
          <cell r="A217">
            <v>44971</v>
          </cell>
          <cell r="K217"/>
        </row>
        <row r="218">
          <cell r="A218">
            <v>44970</v>
          </cell>
          <cell r="K218"/>
        </row>
        <row r="219">
          <cell r="A219">
            <v>44967</v>
          </cell>
          <cell r="K219">
            <v>144.44999999999999</v>
          </cell>
        </row>
        <row r="220">
          <cell r="A220">
            <v>44966</v>
          </cell>
          <cell r="K220"/>
        </row>
        <row r="221">
          <cell r="A221">
            <v>44965</v>
          </cell>
          <cell r="K221"/>
        </row>
        <row r="222">
          <cell r="A222">
            <v>44964</v>
          </cell>
          <cell r="K222"/>
        </row>
        <row r="223">
          <cell r="A223">
            <v>44963</v>
          </cell>
          <cell r="K223"/>
        </row>
        <row r="224">
          <cell r="A224">
            <v>44960</v>
          </cell>
          <cell r="K224">
            <v>145.78</v>
          </cell>
        </row>
        <row r="225">
          <cell r="A225">
            <v>44959</v>
          </cell>
          <cell r="K225"/>
        </row>
        <row r="226">
          <cell r="A226">
            <v>44958</v>
          </cell>
          <cell r="K226"/>
        </row>
        <row r="227">
          <cell r="A227">
            <v>44957</v>
          </cell>
          <cell r="K227"/>
        </row>
        <row r="228">
          <cell r="A228">
            <v>44956</v>
          </cell>
          <cell r="K228"/>
        </row>
        <row r="229">
          <cell r="A229">
            <v>44953</v>
          </cell>
          <cell r="K229">
            <v>150.36000000000001</v>
          </cell>
        </row>
        <row r="230">
          <cell r="A230">
            <v>44952</v>
          </cell>
          <cell r="K230"/>
        </row>
        <row r="231">
          <cell r="A231">
            <v>44951</v>
          </cell>
          <cell r="K231"/>
        </row>
        <row r="232">
          <cell r="A232">
            <v>44950</v>
          </cell>
          <cell r="K232"/>
        </row>
        <row r="233">
          <cell r="A233">
            <v>44949</v>
          </cell>
          <cell r="K233"/>
        </row>
        <row r="234">
          <cell r="A234">
            <v>44946</v>
          </cell>
          <cell r="K234">
            <v>166.49</v>
          </cell>
        </row>
        <row r="235">
          <cell r="A235">
            <v>44945</v>
          </cell>
          <cell r="K235"/>
        </row>
        <row r="236">
          <cell r="A236">
            <v>44944</v>
          </cell>
          <cell r="K236"/>
        </row>
        <row r="237">
          <cell r="A237">
            <v>44943</v>
          </cell>
          <cell r="K237"/>
        </row>
        <row r="238">
          <cell r="A238">
            <v>44939</v>
          </cell>
          <cell r="K238">
            <v>163.95</v>
          </cell>
        </row>
        <row r="239">
          <cell r="A239">
            <v>44938</v>
          </cell>
          <cell r="K239"/>
        </row>
        <row r="240">
          <cell r="A240">
            <v>44937</v>
          </cell>
          <cell r="K240"/>
        </row>
        <row r="241">
          <cell r="A241">
            <v>44936</v>
          </cell>
          <cell r="K241"/>
        </row>
        <row r="242">
          <cell r="A242">
            <v>44935</v>
          </cell>
          <cell r="K242"/>
        </row>
        <row r="243">
          <cell r="A243">
            <v>44932</v>
          </cell>
          <cell r="K243">
            <v>179.05</v>
          </cell>
        </row>
        <row r="244">
          <cell r="A244">
            <v>44931</v>
          </cell>
          <cell r="K244"/>
        </row>
        <row r="245">
          <cell r="A245">
            <v>44930</v>
          </cell>
          <cell r="K245"/>
        </row>
        <row r="246">
          <cell r="A246">
            <v>44929</v>
          </cell>
          <cell r="K246"/>
        </row>
        <row r="247">
          <cell r="A247">
            <v>44925</v>
          </cell>
          <cell r="K247">
            <v>186.25</v>
          </cell>
        </row>
        <row r="248">
          <cell r="A248">
            <v>44924</v>
          </cell>
          <cell r="K248"/>
        </row>
        <row r="249">
          <cell r="A249">
            <v>44923</v>
          </cell>
          <cell r="K249"/>
        </row>
        <row r="250">
          <cell r="A250">
            <v>44918</v>
          </cell>
          <cell r="K250">
            <v>177.92</v>
          </cell>
        </row>
        <row r="251">
          <cell r="A251">
            <v>44917</v>
          </cell>
          <cell r="K251"/>
        </row>
        <row r="252">
          <cell r="A252">
            <v>44916</v>
          </cell>
          <cell r="K252"/>
        </row>
        <row r="253">
          <cell r="A253">
            <v>44915</v>
          </cell>
          <cell r="K253"/>
        </row>
        <row r="254">
          <cell r="A254">
            <v>44914</v>
          </cell>
          <cell r="K254"/>
        </row>
        <row r="255">
          <cell r="A255">
            <v>44911</v>
          </cell>
          <cell r="K255">
            <v>206.01</v>
          </cell>
        </row>
        <row r="256">
          <cell r="A256">
            <v>44910</v>
          </cell>
          <cell r="K256"/>
        </row>
        <row r="257">
          <cell r="A257">
            <v>44909</v>
          </cell>
          <cell r="K257"/>
        </row>
        <row r="258">
          <cell r="A258">
            <v>44908</v>
          </cell>
          <cell r="K258"/>
        </row>
        <row r="259">
          <cell r="A259">
            <v>44907</v>
          </cell>
          <cell r="K259"/>
        </row>
        <row r="260">
          <cell r="A260">
            <v>44904</v>
          </cell>
          <cell r="K260">
            <v>235.9</v>
          </cell>
        </row>
        <row r="261">
          <cell r="A261">
            <v>44903</v>
          </cell>
          <cell r="K261"/>
        </row>
        <row r="262">
          <cell r="A262">
            <v>44902</v>
          </cell>
          <cell r="K262"/>
        </row>
        <row r="263">
          <cell r="A263">
            <v>44901</v>
          </cell>
          <cell r="K263"/>
        </row>
        <row r="264">
          <cell r="A264">
            <v>44900</v>
          </cell>
          <cell r="K264"/>
        </row>
        <row r="265">
          <cell r="A265">
            <v>44897</v>
          </cell>
          <cell r="K265">
            <v>236.32</v>
          </cell>
        </row>
        <row r="266">
          <cell r="A266">
            <v>44896</v>
          </cell>
          <cell r="K266"/>
        </row>
        <row r="267">
          <cell r="A267">
            <v>44895</v>
          </cell>
          <cell r="K267"/>
        </row>
        <row r="268">
          <cell r="A268">
            <v>44894</v>
          </cell>
          <cell r="K268"/>
        </row>
        <row r="269">
          <cell r="A269">
            <v>44893</v>
          </cell>
          <cell r="K269"/>
        </row>
        <row r="270">
          <cell r="A270">
            <v>44890</v>
          </cell>
          <cell r="K270">
            <v>217.08</v>
          </cell>
        </row>
        <row r="271">
          <cell r="A271">
            <v>44888</v>
          </cell>
          <cell r="K271"/>
        </row>
        <row r="272">
          <cell r="A272">
            <v>44887</v>
          </cell>
          <cell r="K272"/>
        </row>
        <row r="273">
          <cell r="A273">
            <v>44886</v>
          </cell>
          <cell r="K273"/>
        </row>
        <row r="274">
          <cell r="A274">
            <v>44883</v>
          </cell>
          <cell r="K274">
            <v>181.7</v>
          </cell>
        </row>
        <row r="275">
          <cell r="A275">
            <v>44882</v>
          </cell>
          <cell r="K275"/>
        </row>
        <row r="276">
          <cell r="A276">
            <v>44881</v>
          </cell>
          <cell r="K276"/>
        </row>
        <row r="277">
          <cell r="A277">
            <v>44880</v>
          </cell>
          <cell r="K277"/>
        </row>
        <row r="278">
          <cell r="A278">
            <v>44879</v>
          </cell>
          <cell r="K278"/>
        </row>
        <row r="279">
          <cell r="A279">
            <v>44876</v>
          </cell>
          <cell r="K279">
            <v>172.55</v>
          </cell>
        </row>
        <row r="280">
          <cell r="A280">
            <v>44875</v>
          </cell>
          <cell r="K280"/>
        </row>
        <row r="281">
          <cell r="A281">
            <v>44874</v>
          </cell>
          <cell r="K281"/>
        </row>
        <row r="282">
          <cell r="A282">
            <v>44873</v>
          </cell>
          <cell r="K282"/>
        </row>
        <row r="283">
          <cell r="A283">
            <v>44872</v>
          </cell>
          <cell r="K283"/>
        </row>
        <row r="284">
          <cell r="A284">
            <v>44869</v>
          </cell>
          <cell r="K284">
            <v>205.64</v>
          </cell>
        </row>
        <row r="285">
          <cell r="A285">
            <v>44868</v>
          </cell>
          <cell r="K285"/>
        </row>
        <row r="286">
          <cell r="A286">
            <v>44867</v>
          </cell>
          <cell r="K286"/>
        </row>
        <row r="287">
          <cell r="A287">
            <v>44866</v>
          </cell>
          <cell r="K287"/>
        </row>
        <row r="288">
          <cell r="A288">
            <v>44865</v>
          </cell>
          <cell r="K288"/>
        </row>
        <row r="289">
          <cell r="A289">
            <v>44862</v>
          </cell>
          <cell r="K289">
            <v>219.3</v>
          </cell>
        </row>
        <row r="290">
          <cell r="A290">
            <v>44861</v>
          </cell>
          <cell r="K290"/>
        </row>
        <row r="291">
          <cell r="A291">
            <v>44860</v>
          </cell>
          <cell r="K291"/>
        </row>
        <row r="292">
          <cell r="A292">
            <v>44859</v>
          </cell>
          <cell r="K292"/>
        </row>
        <row r="293">
          <cell r="A293">
            <v>44858</v>
          </cell>
          <cell r="K293"/>
        </row>
        <row r="294">
          <cell r="A294">
            <v>44855</v>
          </cell>
          <cell r="K294">
            <v>229.33</v>
          </cell>
        </row>
        <row r="295">
          <cell r="A295">
            <v>44854</v>
          </cell>
          <cell r="K295"/>
        </row>
        <row r="296">
          <cell r="A296">
            <v>44853</v>
          </cell>
          <cell r="K296"/>
        </row>
        <row r="297">
          <cell r="A297">
            <v>44852</v>
          </cell>
          <cell r="K297"/>
        </row>
        <row r="298">
          <cell r="A298">
            <v>44851</v>
          </cell>
          <cell r="K298"/>
        </row>
        <row r="299">
          <cell r="A299">
            <v>44848</v>
          </cell>
          <cell r="K299">
            <v>228.94</v>
          </cell>
        </row>
        <row r="300">
          <cell r="A300">
            <v>44847</v>
          </cell>
          <cell r="K300"/>
        </row>
        <row r="301">
          <cell r="A301">
            <v>44846</v>
          </cell>
          <cell r="K301"/>
        </row>
        <row r="302">
          <cell r="A302">
            <v>44845</v>
          </cell>
          <cell r="K302"/>
        </row>
        <row r="303">
          <cell r="A303">
            <v>44844</v>
          </cell>
          <cell r="K303"/>
        </row>
        <row r="304">
          <cell r="A304">
            <v>44841</v>
          </cell>
          <cell r="K304">
            <v>252.2</v>
          </cell>
        </row>
        <row r="305">
          <cell r="A305">
            <v>44840</v>
          </cell>
          <cell r="K305"/>
        </row>
        <row r="306">
          <cell r="A306">
            <v>44839</v>
          </cell>
          <cell r="K306"/>
        </row>
        <row r="307">
          <cell r="A307">
            <v>44838</v>
          </cell>
          <cell r="K307"/>
        </row>
        <row r="308">
          <cell r="A308">
            <v>44837</v>
          </cell>
          <cell r="K308"/>
        </row>
        <row r="309">
          <cell r="A309">
            <v>44834</v>
          </cell>
          <cell r="K309">
            <v>267.5</v>
          </cell>
        </row>
        <row r="310">
          <cell r="A310">
            <v>44833</v>
          </cell>
          <cell r="K310"/>
        </row>
        <row r="311">
          <cell r="A311">
            <v>44832</v>
          </cell>
          <cell r="K311"/>
        </row>
        <row r="312">
          <cell r="A312">
            <v>44831</v>
          </cell>
          <cell r="K312"/>
        </row>
        <row r="313">
          <cell r="A313">
            <v>44830</v>
          </cell>
          <cell r="K313"/>
        </row>
        <row r="314">
          <cell r="A314">
            <v>44827</v>
          </cell>
          <cell r="K314">
            <v>269.06</v>
          </cell>
        </row>
        <row r="315">
          <cell r="A315">
            <v>44826</v>
          </cell>
          <cell r="K315"/>
        </row>
        <row r="316">
          <cell r="A316">
            <v>44825</v>
          </cell>
          <cell r="K316"/>
        </row>
        <row r="317">
          <cell r="A317">
            <v>44824</v>
          </cell>
          <cell r="K317"/>
        </row>
        <row r="318">
          <cell r="A318">
            <v>44823</v>
          </cell>
          <cell r="K318"/>
        </row>
        <row r="319">
          <cell r="A319">
            <v>44820</v>
          </cell>
          <cell r="K319">
            <v>281.10000000000002</v>
          </cell>
        </row>
        <row r="320">
          <cell r="A320">
            <v>44819</v>
          </cell>
          <cell r="K320"/>
        </row>
        <row r="321">
          <cell r="A321">
            <v>44818</v>
          </cell>
          <cell r="K321"/>
        </row>
        <row r="322">
          <cell r="A322">
            <v>44817</v>
          </cell>
          <cell r="K322"/>
        </row>
        <row r="323">
          <cell r="A323">
            <v>44816</v>
          </cell>
          <cell r="K323"/>
        </row>
        <row r="324">
          <cell r="A324">
            <v>44813</v>
          </cell>
          <cell r="K324">
            <v>324.56</v>
          </cell>
        </row>
        <row r="325">
          <cell r="A325">
            <v>44812</v>
          </cell>
          <cell r="K325"/>
        </row>
        <row r="326">
          <cell r="A326">
            <v>44811</v>
          </cell>
          <cell r="K326"/>
        </row>
        <row r="327">
          <cell r="A327">
            <v>44810</v>
          </cell>
          <cell r="K327"/>
        </row>
        <row r="328">
          <cell r="A328">
            <v>44809</v>
          </cell>
          <cell r="K328"/>
        </row>
        <row r="329">
          <cell r="A329">
            <v>44806</v>
          </cell>
          <cell r="K329">
            <v>335.58</v>
          </cell>
        </row>
        <row r="330">
          <cell r="A330">
            <v>44805</v>
          </cell>
          <cell r="K330"/>
        </row>
        <row r="331">
          <cell r="A331">
            <v>44804</v>
          </cell>
          <cell r="K331"/>
        </row>
        <row r="332">
          <cell r="A332">
            <v>44803</v>
          </cell>
          <cell r="K332"/>
        </row>
        <row r="333">
          <cell r="A333">
            <v>44802</v>
          </cell>
          <cell r="K333"/>
        </row>
        <row r="334">
          <cell r="A334">
            <v>44799</v>
          </cell>
          <cell r="K334">
            <v>361.63</v>
          </cell>
        </row>
        <row r="335">
          <cell r="A335">
            <v>44798</v>
          </cell>
          <cell r="K335"/>
        </row>
        <row r="336">
          <cell r="A336">
            <v>44797</v>
          </cell>
          <cell r="K336"/>
        </row>
        <row r="337">
          <cell r="A337">
            <v>44796</v>
          </cell>
          <cell r="K337"/>
        </row>
        <row r="338">
          <cell r="A338">
            <v>44795</v>
          </cell>
          <cell r="K338"/>
        </row>
        <row r="339">
          <cell r="A339">
            <v>44792</v>
          </cell>
          <cell r="K339">
            <v>346.77</v>
          </cell>
        </row>
        <row r="340">
          <cell r="A340">
            <v>44791</v>
          </cell>
          <cell r="K340"/>
        </row>
        <row r="341">
          <cell r="A341">
            <v>44790</v>
          </cell>
          <cell r="K341"/>
        </row>
        <row r="342">
          <cell r="A342">
            <v>44789</v>
          </cell>
          <cell r="K342"/>
        </row>
        <row r="343">
          <cell r="A343">
            <v>44788</v>
          </cell>
          <cell r="K343"/>
        </row>
        <row r="344">
          <cell r="A344">
            <v>44785</v>
          </cell>
          <cell r="K344">
            <v>303.62</v>
          </cell>
        </row>
        <row r="345">
          <cell r="A345">
            <v>44784</v>
          </cell>
          <cell r="K345"/>
        </row>
        <row r="346">
          <cell r="A346">
            <v>44783</v>
          </cell>
          <cell r="K346"/>
        </row>
        <row r="347">
          <cell r="A347">
            <v>44782</v>
          </cell>
          <cell r="K347"/>
        </row>
        <row r="348">
          <cell r="A348">
            <v>44781</v>
          </cell>
          <cell r="K348"/>
        </row>
        <row r="349">
          <cell r="A349">
            <v>44778</v>
          </cell>
          <cell r="K349">
            <v>319.38</v>
          </cell>
        </row>
        <row r="350">
          <cell r="A350">
            <v>44777</v>
          </cell>
          <cell r="K350"/>
        </row>
        <row r="351">
          <cell r="A351">
            <v>44776</v>
          </cell>
          <cell r="K351"/>
        </row>
        <row r="352">
          <cell r="A352">
            <v>44775</v>
          </cell>
          <cell r="K352"/>
        </row>
        <row r="353">
          <cell r="A353">
            <v>44774</v>
          </cell>
          <cell r="K353"/>
        </row>
        <row r="354">
          <cell r="A354">
            <v>44771</v>
          </cell>
          <cell r="K354">
            <v>321.62</v>
          </cell>
        </row>
        <row r="355">
          <cell r="A355">
            <v>44770</v>
          </cell>
          <cell r="K355"/>
        </row>
        <row r="356">
          <cell r="A356">
            <v>44769</v>
          </cell>
          <cell r="K356"/>
        </row>
        <row r="357">
          <cell r="A357">
            <v>44768</v>
          </cell>
          <cell r="K357"/>
        </row>
        <row r="358">
          <cell r="A358">
            <v>44767</v>
          </cell>
          <cell r="K358"/>
        </row>
        <row r="359">
          <cell r="A359">
            <v>44764</v>
          </cell>
          <cell r="K359">
            <v>302.73</v>
          </cell>
        </row>
        <row r="360">
          <cell r="A360">
            <v>44763</v>
          </cell>
          <cell r="K360"/>
        </row>
        <row r="361">
          <cell r="A361">
            <v>44762</v>
          </cell>
          <cell r="K361"/>
        </row>
        <row r="362">
          <cell r="A362">
            <v>44761</v>
          </cell>
          <cell r="K362"/>
        </row>
        <row r="363">
          <cell r="A363">
            <v>44760</v>
          </cell>
          <cell r="K363"/>
        </row>
        <row r="364">
          <cell r="A364">
            <v>44757</v>
          </cell>
          <cell r="K364">
            <v>342.5</v>
          </cell>
        </row>
        <row r="365">
          <cell r="A365">
            <v>44756</v>
          </cell>
          <cell r="K365"/>
        </row>
        <row r="366">
          <cell r="A366">
            <v>44755</v>
          </cell>
          <cell r="K366"/>
        </row>
        <row r="367">
          <cell r="A367">
            <v>44754</v>
          </cell>
          <cell r="K367"/>
        </row>
        <row r="368">
          <cell r="A368">
            <v>44753</v>
          </cell>
          <cell r="K368"/>
        </row>
        <row r="369">
          <cell r="A369">
            <v>44750</v>
          </cell>
          <cell r="K369">
            <v>348.09</v>
          </cell>
        </row>
        <row r="370">
          <cell r="A370">
            <v>44749</v>
          </cell>
          <cell r="K370"/>
        </row>
        <row r="371">
          <cell r="A371">
            <v>44748</v>
          </cell>
          <cell r="K371"/>
        </row>
        <row r="372">
          <cell r="A372">
            <v>44747</v>
          </cell>
          <cell r="K372"/>
        </row>
        <row r="373">
          <cell r="A373">
            <v>44746</v>
          </cell>
          <cell r="K373"/>
        </row>
        <row r="374">
          <cell r="A374">
            <v>44743</v>
          </cell>
          <cell r="K374">
            <v>332.33</v>
          </cell>
        </row>
        <row r="375">
          <cell r="A375">
            <v>44742</v>
          </cell>
          <cell r="K375"/>
        </row>
        <row r="376">
          <cell r="A376">
            <v>44741</v>
          </cell>
          <cell r="K376"/>
        </row>
        <row r="377">
          <cell r="A377">
            <v>44740</v>
          </cell>
          <cell r="K377"/>
        </row>
        <row r="378">
          <cell r="A378">
            <v>44739</v>
          </cell>
          <cell r="K378"/>
        </row>
        <row r="379">
          <cell r="A379">
            <v>44736</v>
          </cell>
          <cell r="K379">
            <v>354.25</v>
          </cell>
        </row>
        <row r="380">
          <cell r="A380">
            <v>44735</v>
          </cell>
          <cell r="K380"/>
        </row>
        <row r="381">
          <cell r="A381">
            <v>44734</v>
          </cell>
          <cell r="K381"/>
        </row>
        <row r="382">
          <cell r="A382">
            <v>44733</v>
          </cell>
          <cell r="K382"/>
        </row>
        <row r="383">
          <cell r="A383">
            <v>44732</v>
          </cell>
          <cell r="K383"/>
        </row>
        <row r="384">
          <cell r="A384">
            <v>44729</v>
          </cell>
          <cell r="K384">
            <v>312.3</v>
          </cell>
        </row>
        <row r="385">
          <cell r="A385">
            <v>44728</v>
          </cell>
          <cell r="K385"/>
        </row>
        <row r="386">
          <cell r="A386">
            <v>44727</v>
          </cell>
          <cell r="K386"/>
        </row>
        <row r="387">
          <cell r="A387">
            <v>44726</v>
          </cell>
          <cell r="K387"/>
        </row>
        <row r="388">
          <cell r="A388">
            <v>44725</v>
          </cell>
          <cell r="K388"/>
        </row>
        <row r="389">
          <cell r="A389">
            <v>44722</v>
          </cell>
          <cell r="K389">
            <v>312.42</v>
          </cell>
        </row>
        <row r="390">
          <cell r="A390">
            <v>44721</v>
          </cell>
          <cell r="K390"/>
        </row>
        <row r="391">
          <cell r="A391">
            <v>44720</v>
          </cell>
          <cell r="K391"/>
        </row>
        <row r="392">
          <cell r="A392">
            <v>44719</v>
          </cell>
          <cell r="K392"/>
        </row>
        <row r="393">
          <cell r="A393">
            <v>44718</v>
          </cell>
          <cell r="K393"/>
        </row>
        <row r="394">
          <cell r="A394">
            <v>44715</v>
          </cell>
          <cell r="K394"/>
        </row>
        <row r="395">
          <cell r="A395">
            <v>44714</v>
          </cell>
          <cell r="K395"/>
        </row>
        <row r="396">
          <cell r="A396">
            <v>44713</v>
          </cell>
          <cell r="K396">
            <v>333.07</v>
          </cell>
        </row>
        <row r="397">
          <cell r="A397">
            <v>44712</v>
          </cell>
          <cell r="K397"/>
        </row>
        <row r="398">
          <cell r="A398">
            <v>44711</v>
          </cell>
          <cell r="K398"/>
        </row>
        <row r="399">
          <cell r="A399">
            <v>44708</v>
          </cell>
          <cell r="K399">
            <v>317.45999999999998</v>
          </cell>
        </row>
        <row r="400">
          <cell r="A400">
            <v>44707</v>
          </cell>
          <cell r="K400"/>
        </row>
        <row r="401">
          <cell r="A401">
            <v>44706</v>
          </cell>
          <cell r="K401"/>
        </row>
        <row r="402">
          <cell r="A402">
            <v>44705</v>
          </cell>
          <cell r="K402"/>
        </row>
        <row r="403">
          <cell r="A403">
            <v>44704</v>
          </cell>
          <cell r="K403"/>
        </row>
        <row r="404">
          <cell r="A404">
            <v>44701</v>
          </cell>
          <cell r="K404">
            <v>347.18</v>
          </cell>
        </row>
        <row r="405">
          <cell r="A405">
            <v>44700</v>
          </cell>
          <cell r="K405"/>
        </row>
        <row r="406">
          <cell r="A406">
            <v>44699</v>
          </cell>
          <cell r="K406"/>
        </row>
        <row r="407">
          <cell r="A407">
            <v>44698</v>
          </cell>
          <cell r="K407"/>
        </row>
        <row r="408">
          <cell r="A408">
            <v>44697</v>
          </cell>
          <cell r="K408"/>
        </row>
        <row r="409">
          <cell r="A409">
            <v>44694</v>
          </cell>
          <cell r="K409">
            <v>324.60000000000002</v>
          </cell>
        </row>
        <row r="410">
          <cell r="A410">
            <v>44693</v>
          </cell>
          <cell r="K410"/>
        </row>
        <row r="411">
          <cell r="A411">
            <v>44692</v>
          </cell>
          <cell r="K411"/>
        </row>
        <row r="412">
          <cell r="A412">
            <v>44691</v>
          </cell>
          <cell r="K412"/>
        </row>
        <row r="413">
          <cell r="A413">
            <v>44690</v>
          </cell>
          <cell r="K413"/>
        </row>
        <row r="414">
          <cell r="A414">
            <v>44687</v>
          </cell>
          <cell r="K414">
            <v>301.97000000000003</v>
          </cell>
        </row>
        <row r="415">
          <cell r="A415">
            <v>44686</v>
          </cell>
          <cell r="K415"/>
        </row>
        <row r="416">
          <cell r="A416">
            <v>44685</v>
          </cell>
          <cell r="K416"/>
        </row>
        <row r="417">
          <cell r="A417">
            <v>44684</v>
          </cell>
          <cell r="K417"/>
        </row>
        <row r="418">
          <cell r="A418">
            <v>44680</v>
          </cell>
          <cell r="K418">
            <v>280.04000000000002</v>
          </cell>
        </row>
        <row r="419">
          <cell r="A419">
            <v>44679</v>
          </cell>
          <cell r="K419"/>
        </row>
        <row r="420">
          <cell r="A420">
            <v>44678</v>
          </cell>
          <cell r="K420"/>
        </row>
        <row r="421">
          <cell r="A421">
            <v>44677</v>
          </cell>
          <cell r="K421"/>
        </row>
        <row r="422">
          <cell r="A422">
            <v>44676</v>
          </cell>
          <cell r="K422"/>
        </row>
        <row r="423">
          <cell r="A423">
            <v>44673</v>
          </cell>
          <cell r="K423">
            <v>326.31</v>
          </cell>
        </row>
        <row r="424">
          <cell r="A424">
            <v>44672</v>
          </cell>
          <cell r="K424"/>
        </row>
        <row r="425">
          <cell r="A425">
            <v>44671</v>
          </cell>
          <cell r="K425"/>
        </row>
        <row r="426">
          <cell r="A426">
            <v>44670</v>
          </cell>
          <cell r="K426"/>
        </row>
        <row r="427">
          <cell r="A427">
            <v>44669</v>
          </cell>
          <cell r="K427"/>
        </row>
        <row r="428">
          <cell r="A428">
            <v>44665</v>
          </cell>
          <cell r="K428">
            <v>326.69</v>
          </cell>
        </row>
        <row r="429">
          <cell r="A429">
            <v>44664</v>
          </cell>
          <cell r="K429"/>
        </row>
        <row r="430">
          <cell r="A430">
            <v>44663</v>
          </cell>
          <cell r="K430"/>
        </row>
        <row r="431">
          <cell r="A431">
            <v>44662</v>
          </cell>
          <cell r="K431"/>
        </row>
        <row r="432">
          <cell r="A432">
            <v>44659</v>
          </cell>
          <cell r="K432">
            <v>281.74</v>
          </cell>
        </row>
        <row r="433">
          <cell r="A433">
            <v>44658</v>
          </cell>
          <cell r="K433"/>
        </row>
        <row r="434">
          <cell r="A434">
            <v>44657</v>
          </cell>
          <cell r="K434"/>
        </row>
        <row r="435">
          <cell r="A435">
            <v>44656</v>
          </cell>
          <cell r="K435"/>
        </row>
        <row r="436">
          <cell r="A436">
            <v>44655</v>
          </cell>
          <cell r="K436"/>
        </row>
        <row r="437">
          <cell r="A437">
            <v>44652</v>
          </cell>
          <cell r="K437">
            <v>259.76</v>
          </cell>
        </row>
        <row r="438">
          <cell r="A438">
            <v>44651</v>
          </cell>
          <cell r="K438"/>
        </row>
        <row r="439">
          <cell r="A439">
            <v>44650</v>
          </cell>
          <cell r="K439"/>
        </row>
        <row r="440">
          <cell r="A440">
            <v>44649</v>
          </cell>
          <cell r="K440"/>
        </row>
        <row r="441">
          <cell r="A441">
            <v>44648</v>
          </cell>
          <cell r="K441"/>
        </row>
        <row r="442">
          <cell r="A442">
            <v>44645</v>
          </cell>
          <cell r="K442">
            <v>263.13</v>
          </cell>
        </row>
        <row r="443">
          <cell r="A443">
            <v>44644</v>
          </cell>
          <cell r="K443"/>
        </row>
        <row r="444">
          <cell r="A444">
            <v>44643</v>
          </cell>
          <cell r="K444"/>
        </row>
        <row r="445">
          <cell r="A445">
            <v>44642</v>
          </cell>
          <cell r="K445"/>
        </row>
        <row r="446">
          <cell r="A446">
            <v>44641</v>
          </cell>
          <cell r="K446"/>
        </row>
        <row r="447">
          <cell r="A447">
            <v>44638</v>
          </cell>
          <cell r="K447">
            <v>294.8</v>
          </cell>
        </row>
        <row r="448">
          <cell r="A448">
            <v>44637</v>
          </cell>
          <cell r="K448"/>
        </row>
        <row r="449">
          <cell r="A449">
            <v>44636</v>
          </cell>
          <cell r="K449"/>
        </row>
        <row r="450">
          <cell r="A450">
            <v>44635</v>
          </cell>
          <cell r="K450"/>
        </row>
        <row r="451">
          <cell r="A451">
            <v>44634</v>
          </cell>
          <cell r="K451"/>
        </row>
        <row r="452">
          <cell r="A452">
            <v>44631</v>
          </cell>
          <cell r="K452">
            <v>428.22</v>
          </cell>
        </row>
        <row r="453">
          <cell r="A453">
            <v>44630</v>
          </cell>
          <cell r="K453"/>
        </row>
        <row r="454">
          <cell r="A454">
            <v>44629</v>
          </cell>
          <cell r="K454"/>
        </row>
        <row r="455">
          <cell r="A455">
            <v>44628</v>
          </cell>
          <cell r="K455"/>
        </row>
        <row r="456">
          <cell r="A456">
            <v>44627</v>
          </cell>
          <cell r="K456"/>
        </row>
        <row r="457">
          <cell r="A457">
            <v>44624</v>
          </cell>
          <cell r="K457">
            <v>359.9</v>
          </cell>
        </row>
        <row r="458">
          <cell r="A458">
            <v>44623</v>
          </cell>
          <cell r="K458"/>
        </row>
        <row r="459">
          <cell r="A459">
            <v>44622</v>
          </cell>
          <cell r="K459"/>
        </row>
        <row r="460">
          <cell r="A460">
            <v>44621</v>
          </cell>
          <cell r="K460"/>
        </row>
        <row r="461">
          <cell r="A461">
            <v>44620</v>
          </cell>
          <cell r="K461"/>
        </row>
        <row r="462">
          <cell r="A462">
            <v>44617</v>
          </cell>
          <cell r="K462">
            <v>228.31</v>
          </cell>
        </row>
        <row r="463">
          <cell r="A463">
            <v>44616</v>
          </cell>
          <cell r="K463"/>
        </row>
        <row r="464">
          <cell r="A464">
            <v>44615</v>
          </cell>
          <cell r="K464"/>
        </row>
        <row r="465">
          <cell r="A465">
            <v>44614</v>
          </cell>
          <cell r="K465"/>
        </row>
        <row r="466">
          <cell r="A466">
            <v>44613</v>
          </cell>
          <cell r="K466"/>
        </row>
        <row r="467">
          <cell r="A467">
            <v>44610</v>
          </cell>
          <cell r="K467">
            <v>211.52</v>
          </cell>
        </row>
        <row r="468">
          <cell r="A468">
            <v>44609</v>
          </cell>
          <cell r="K468"/>
        </row>
        <row r="469">
          <cell r="A469">
            <v>44608</v>
          </cell>
          <cell r="K469"/>
        </row>
        <row r="470">
          <cell r="A470">
            <v>44607</v>
          </cell>
          <cell r="K470"/>
        </row>
        <row r="471">
          <cell r="A471">
            <v>44606</v>
          </cell>
          <cell r="K471"/>
        </row>
        <row r="472">
          <cell r="A472">
            <v>44603</v>
          </cell>
          <cell r="K472">
            <v>201.98</v>
          </cell>
        </row>
        <row r="473">
          <cell r="A473">
            <v>44602</v>
          </cell>
          <cell r="K473"/>
        </row>
        <row r="474">
          <cell r="A474">
            <v>44601</v>
          </cell>
          <cell r="K474"/>
        </row>
        <row r="475">
          <cell r="A475">
            <v>44600</v>
          </cell>
          <cell r="K475"/>
        </row>
        <row r="476">
          <cell r="A476">
            <v>44599</v>
          </cell>
          <cell r="K476"/>
        </row>
        <row r="477">
          <cell r="A477">
            <v>44596</v>
          </cell>
          <cell r="K477">
            <v>183.78</v>
          </cell>
        </row>
        <row r="478">
          <cell r="A478">
            <v>44595</v>
          </cell>
          <cell r="K478"/>
        </row>
        <row r="479">
          <cell r="A479">
            <v>44594</v>
          </cell>
          <cell r="K479"/>
        </row>
        <row r="480">
          <cell r="A480">
            <v>44593</v>
          </cell>
          <cell r="K480"/>
        </row>
        <row r="481">
          <cell r="A481">
            <v>44592</v>
          </cell>
          <cell r="K481"/>
        </row>
        <row r="482">
          <cell r="A482">
            <v>44589</v>
          </cell>
          <cell r="K482">
            <v>201.3</v>
          </cell>
        </row>
        <row r="483">
          <cell r="A483">
            <v>44588</v>
          </cell>
          <cell r="K483"/>
        </row>
        <row r="484">
          <cell r="A484">
            <v>44587</v>
          </cell>
          <cell r="K484"/>
        </row>
        <row r="485">
          <cell r="A485">
            <v>44586</v>
          </cell>
          <cell r="K485"/>
        </row>
        <row r="486">
          <cell r="A486">
            <v>44585</v>
          </cell>
          <cell r="K486"/>
        </row>
        <row r="487">
          <cell r="A487">
            <v>44582</v>
          </cell>
          <cell r="K487">
            <v>182.55</v>
          </cell>
        </row>
        <row r="488">
          <cell r="A488">
            <v>44581</v>
          </cell>
          <cell r="K488"/>
        </row>
        <row r="489">
          <cell r="A489">
            <v>44580</v>
          </cell>
          <cell r="K489"/>
        </row>
        <row r="490">
          <cell r="A490">
            <v>44579</v>
          </cell>
          <cell r="K490"/>
        </row>
        <row r="491">
          <cell r="A491">
            <v>44578</v>
          </cell>
          <cell r="K491"/>
        </row>
        <row r="492">
          <cell r="A492">
            <v>44575</v>
          </cell>
          <cell r="K492">
            <v>162.57</v>
          </cell>
        </row>
        <row r="493">
          <cell r="A493">
            <v>44574</v>
          </cell>
          <cell r="K493"/>
        </row>
        <row r="494">
          <cell r="A494">
            <v>44573</v>
          </cell>
          <cell r="K494"/>
        </row>
        <row r="495">
          <cell r="A495">
            <v>44572</v>
          </cell>
          <cell r="K495"/>
        </row>
        <row r="496">
          <cell r="A496">
            <v>44571</v>
          </cell>
          <cell r="K496"/>
        </row>
        <row r="497">
          <cell r="A497">
            <v>44568</v>
          </cell>
          <cell r="K497">
            <v>143.52000000000001</v>
          </cell>
        </row>
        <row r="498">
          <cell r="A498">
            <v>44567</v>
          </cell>
          <cell r="K498"/>
        </row>
        <row r="499">
          <cell r="A499">
            <v>44566</v>
          </cell>
          <cell r="K499"/>
        </row>
        <row r="500">
          <cell r="A500">
            <v>44565</v>
          </cell>
          <cell r="K500"/>
        </row>
        <row r="501">
          <cell r="A501">
            <v>44564</v>
          </cell>
          <cell r="K501"/>
        </row>
        <row r="502">
          <cell r="A502">
            <v>44561</v>
          </cell>
          <cell r="K502">
            <v>125.65</v>
          </cell>
        </row>
        <row r="503">
          <cell r="A503">
            <v>44560</v>
          </cell>
          <cell r="K503"/>
        </row>
        <row r="504">
          <cell r="A504">
            <v>44559</v>
          </cell>
          <cell r="K504"/>
        </row>
        <row r="505">
          <cell r="A505">
            <v>44558</v>
          </cell>
          <cell r="K505"/>
        </row>
        <row r="506">
          <cell r="A506">
            <v>44554</v>
          </cell>
          <cell r="K506">
            <v>147.24</v>
          </cell>
        </row>
        <row r="507">
          <cell r="A507">
            <v>44553</v>
          </cell>
          <cell r="K507"/>
        </row>
        <row r="508">
          <cell r="A508">
            <v>44552</v>
          </cell>
          <cell r="K508"/>
        </row>
        <row r="509">
          <cell r="A509">
            <v>44551</v>
          </cell>
          <cell r="K509"/>
        </row>
        <row r="510">
          <cell r="A510">
            <v>44550</v>
          </cell>
          <cell r="K510"/>
        </row>
        <row r="511">
          <cell r="A511">
            <v>44547</v>
          </cell>
          <cell r="K511">
            <v>145.76</v>
          </cell>
        </row>
        <row r="512">
          <cell r="A512">
            <v>44546</v>
          </cell>
          <cell r="K512"/>
        </row>
        <row r="513">
          <cell r="A513">
            <v>44545</v>
          </cell>
          <cell r="K513"/>
        </row>
        <row r="514">
          <cell r="A514">
            <v>44544</v>
          </cell>
          <cell r="K514"/>
        </row>
        <row r="515">
          <cell r="A515">
            <v>44543</v>
          </cell>
          <cell r="K515"/>
        </row>
        <row r="516">
          <cell r="A516">
            <v>44540</v>
          </cell>
          <cell r="K516">
            <v>132.66999999999999</v>
          </cell>
        </row>
        <row r="517">
          <cell r="A517">
            <v>44539</v>
          </cell>
          <cell r="K517"/>
        </row>
        <row r="518">
          <cell r="A518">
            <v>44538</v>
          </cell>
          <cell r="K518"/>
        </row>
        <row r="519">
          <cell r="A519">
            <v>44537</v>
          </cell>
          <cell r="K519"/>
        </row>
        <row r="520">
          <cell r="A520">
            <v>44536</v>
          </cell>
          <cell r="K520"/>
        </row>
        <row r="521">
          <cell r="A521">
            <v>44533</v>
          </cell>
          <cell r="K521">
            <v>128.44</v>
          </cell>
        </row>
        <row r="522">
          <cell r="A522">
            <v>44532</v>
          </cell>
          <cell r="K522"/>
        </row>
        <row r="523">
          <cell r="A523">
            <v>44531</v>
          </cell>
          <cell r="K523"/>
        </row>
        <row r="524">
          <cell r="A524">
            <v>44530</v>
          </cell>
          <cell r="K524"/>
        </row>
        <row r="525">
          <cell r="A525">
            <v>44529</v>
          </cell>
          <cell r="K525"/>
        </row>
        <row r="526">
          <cell r="A526">
            <v>44526</v>
          </cell>
          <cell r="K526">
            <v>158.30000000000001</v>
          </cell>
        </row>
        <row r="527">
          <cell r="A527">
            <v>44525</v>
          </cell>
          <cell r="K527"/>
        </row>
        <row r="528">
          <cell r="A528">
            <v>44524</v>
          </cell>
          <cell r="K528"/>
        </row>
        <row r="529">
          <cell r="A529">
            <v>44523</v>
          </cell>
          <cell r="K529"/>
        </row>
        <row r="530">
          <cell r="A530">
            <v>44522</v>
          </cell>
          <cell r="K530"/>
        </row>
        <row r="531">
          <cell r="A531">
            <v>44519</v>
          </cell>
          <cell r="K531">
            <v>131.43</v>
          </cell>
        </row>
        <row r="532">
          <cell r="A532">
            <v>44518</v>
          </cell>
          <cell r="K532"/>
        </row>
        <row r="533">
          <cell r="A533">
            <v>44517</v>
          </cell>
          <cell r="K533"/>
        </row>
        <row r="534">
          <cell r="A534">
            <v>44516</v>
          </cell>
          <cell r="K534"/>
        </row>
        <row r="535">
          <cell r="A535">
            <v>44515</v>
          </cell>
          <cell r="K535"/>
        </row>
        <row r="536">
          <cell r="A536">
            <v>44512</v>
          </cell>
          <cell r="K536">
            <v>137.69</v>
          </cell>
        </row>
        <row r="537">
          <cell r="A537">
            <v>44511</v>
          </cell>
          <cell r="K537"/>
        </row>
        <row r="538">
          <cell r="A538">
            <v>44510</v>
          </cell>
          <cell r="K538"/>
        </row>
        <row r="539">
          <cell r="A539">
            <v>44509</v>
          </cell>
          <cell r="K539"/>
        </row>
        <row r="540">
          <cell r="A540">
            <v>44508</v>
          </cell>
          <cell r="K540"/>
        </row>
        <row r="541">
          <cell r="A541">
            <v>44505</v>
          </cell>
          <cell r="K541">
            <v>136.78</v>
          </cell>
        </row>
        <row r="542">
          <cell r="A542">
            <v>44504</v>
          </cell>
          <cell r="K542"/>
        </row>
        <row r="543">
          <cell r="A543">
            <v>44503</v>
          </cell>
          <cell r="K543"/>
        </row>
        <row r="544">
          <cell r="A544">
            <v>44502</v>
          </cell>
          <cell r="K544"/>
        </row>
        <row r="545">
          <cell r="A545">
            <v>44501</v>
          </cell>
          <cell r="K545"/>
        </row>
        <row r="546">
          <cell r="A546">
            <v>44498</v>
          </cell>
          <cell r="K546">
            <v>175.77</v>
          </cell>
        </row>
        <row r="547">
          <cell r="A547">
            <v>44497</v>
          </cell>
          <cell r="K547"/>
        </row>
        <row r="548">
          <cell r="A548">
            <v>44496</v>
          </cell>
          <cell r="K548"/>
        </row>
        <row r="549">
          <cell r="A549">
            <v>44495</v>
          </cell>
          <cell r="K549"/>
        </row>
        <row r="550">
          <cell r="A550">
            <v>44494</v>
          </cell>
          <cell r="K550"/>
        </row>
        <row r="551">
          <cell r="A551">
            <v>44491</v>
          </cell>
          <cell r="K551">
            <v>212.47</v>
          </cell>
        </row>
        <row r="552">
          <cell r="A552">
            <v>44490</v>
          </cell>
          <cell r="K552"/>
        </row>
        <row r="553">
          <cell r="A553">
            <v>44489</v>
          </cell>
          <cell r="K553"/>
        </row>
        <row r="554">
          <cell r="A554">
            <v>44488</v>
          </cell>
          <cell r="K554"/>
        </row>
        <row r="555">
          <cell r="A555">
            <v>44487</v>
          </cell>
          <cell r="K555"/>
        </row>
        <row r="556">
          <cell r="A556">
            <v>44484</v>
          </cell>
          <cell r="K556">
            <v>239.82</v>
          </cell>
        </row>
        <row r="557">
          <cell r="A557">
            <v>44483</v>
          </cell>
          <cell r="K557"/>
        </row>
        <row r="558">
          <cell r="A558">
            <v>44482</v>
          </cell>
          <cell r="K558"/>
        </row>
        <row r="559">
          <cell r="A559">
            <v>44481</v>
          </cell>
          <cell r="K559"/>
        </row>
        <row r="560">
          <cell r="A560">
            <v>44480</v>
          </cell>
          <cell r="K560"/>
        </row>
        <row r="561">
          <cell r="A561">
            <v>44477</v>
          </cell>
          <cell r="K561">
            <v>229.89</v>
          </cell>
        </row>
        <row r="562">
          <cell r="A562">
            <v>44476</v>
          </cell>
          <cell r="K562"/>
        </row>
        <row r="563">
          <cell r="A563">
            <v>44475</v>
          </cell>
          <cell r="K563"/>
        </row>
        <row r="564">
          <cell r="A564">
            <v>44474</v>
          </cell>
          <cell r="K564"/>
        </row>
        <row r="565">
          <cell r="A565">
            <v>44473</v>
          </cell>
          <cell r="K565"/>
        </row>
        <row r="566">
          <cell r="A566">
            <v>44470</v>
          </cell>
          <cell r="K566">
            <v>193.94</v>
          </cell>
        </row>
        <row r="567">
          <cell r="A567">
            <v>44469</v>
          </cell>
          <cell r="K567"/>
        </row>
        <row r="568">
          <cell r="A568">
            <v>44468</v>
          </cell>
          <cell r="K568"/>
        </row>
        <row r="569">
          <cell r="A569">
            <v>44467</v>
          </cell>
          <cell r="K569"/>
        </row>
        <row r="570">
          <cell r="A570">
            <v>44466</v>
          </cell>
          <cell r="K570"/>
        </row>
        <row r="571">
          <cell r="A571">
            <v>44463</v>
          </cell>
          <cell r="K571">
            <v>162.24</v>
          </cell>
        </row>
        <row r="572">
          <cell r="A572">
            <v>44462</v>
          </cell>
          <cell r="K572"/>
        </row>
        <row r="573">
          <cell r="A573">
            <v>44461</v>
          </cell>
          <cell r="K573"/>
        </row>
        <row r="574">
          <cell r="A574">
            <v>44460</v>
          </cell>
          <cell r="K574"/>
        </row>
        <row r="575">
          <cell r="A575">
            <v>44459</v>
          </cell>
          <cell r="K575"/>
        </row>
        <row r="576">
          <cell r="A576">
            <v>44456</v>
          </cell>
          <cell r="K576">
            <v>158.69999999999999</v>
          </cell>
        </row>
        <row r="577">
          <cell r="A577">
            <v>44455</v>
          </cell>
          <cell r="K577"/>
        </row>
        <row r="578">
          <cell r="A578">
            <v>44454</v>
          </cell>
          <cell r="K578"/>
        </row>
        <row r="579">
          <cell r="A579">
            <v>44453</v>
          </cell>
          <cell r="K579"/>
        </row>
        <row r="580">
          <cell r="A580">
            <v>44452</v>
          </cell>
          <cell r="K580"/>
        </row>
        <row r="581">
          <cell r="A581">
            <v>44449</v>
          </cell>
          <cell r="K581">
            <v>153.77000000000001</v>
          </cell>
        </row>
        <row r="582">
          <cell r="A582">
            <v>44448</v>
          </cell>
          <cell r="K582"/>
        </row>
        <row r="583">
          <cell r="A583">
            <v>44447</v>
          </cell>
          <cell r="K583"/>
        </row>
        <row r="584">
          <cell r="A584">
            <v>44446</v>
          </cell>
          <cell r="K584"/>
        </row>
        <row r="585">
          <cell r="A585">
            <v>44445</v>
          </cell>
          <cell r="K585"/>
        </row>
        <row r="586">
          <cell r="A586">
            <v>44442</v>
          </cell>
          <cell r="K586">
            <v>148.85</v>
          </cell>
        </row>
        <row r="587">
          <cell r="A587">
            <v>44441</v>
          </cell>
          <cell r="K587"/>
        </row>
        <row r="588">
          <cell r="A588">
            <v>44440</v>
          </cell>
          <cell r="K588"/>
        </row>
        <row r="589">
          <cell r="A589">
            <v>44439</v>
          </cell>
          <cell r="K589"/>
        </row>
        <row r="590">
          <cell r="A590">
            <v>44435</v>
          </cell>
          <cell r="K590">
            <v>142.09</v>
          </cell>
        </row>
        <row r="591">
          <cell r="A591">
            <v>44434</v>
          </cell>
          <cell r="K591"/>
        </row>
        <row r="592">
          <cell r="A592">
            <v>44433</v>
          </cell>
          <cell r="K592"/>
        </row>
        <row r="593">
          <cell r="A593">
            <v>44432</v>
          </cell>
          <cell r="K593"/>
        </row>
        <row r="594">
          <cell r="A594">
            <v>44431</v>
          </cell>
          <cell r="K594"/>
        </row>
        <row r="595">
          <cell r="A595">
            <v>44428</v>
          </cell>
          <cell r="K595">
            <v>139.82</v>
          </cell>
        </row>
        <row r="596">
          <cell r="A596">
            <v>44427</v>
          </cell>
          <cell r="K596"/>
        </row>
        <row r="597">
          <cell r="A597">
            <v>44426</v>
          </cell>
          <cell r="K597"/>
        </row>
        <row r="598">
          <cell r="A598">
            <v>44425</v>
          </cell>
          <cell r="K598"/>
        </row>
        <row r="599">
          <cell r="A599">
            <v>44424</v>
          </cell>
          <cell r="K599"/>
        </row>
        <row r="600">
          <cell r="A600">
            <v>44421</v>
          </cell>
          <cell r="K600">
            <v>137.06</v>
          </cell>
        </row>
        <row r="601">
          <cell r="A601">
            <v>44420</v>
          </cell>
          <cell r="K601"/>
        </row>
        <row r="602">
          <cell r="A602">
            <v>44419</v>
          </cell>
          <cell r="K602"/>
        </row>
        <row r="603">
          <cell r="A603">
            <v>44418</v>
          </cell>
          <cell r="K603"/>
        </row>
        <row r="604">
          <cell r="A604">
            <v>44417</v>
          </cell>
          <cell r="K604"/>
        </row>
        <row r="605">
          <cell r="A605">
            <v>44414</v>
          </cell>
          <cell r="K605">
            <v>133.49</v>
          </cell>
        </row>
        <row r="606">
          <cell r="A606">
            <v>44413</v>
          </cell>
          <cell r="K606"/>
        </row>
        <row r="607">
          <cell r="A607">
            <v>44412</v>
          </cell>
          <cell r="K607"/>
        </row>
        <row r="608">
          <cell r="A608">
            <v>44411</v>
          </cell>
          <cell r="K608"/>
        </row>
        <row r="609">
          <cell r="A609">
            <v>44410</v>
          </cell>
          <cell r="K609"/>
        </row>
        <row r="610">
          <cell r="A610">
            <v>44407</v>
          </cell>
          <cell r="K610">
            <v>130.15</v>
          </cell>
        </row>
        <row r="611">
          <cell r="A611">
            <v>44406</v>
          </cell>
          <cell r="K611"/>
        </row>
        <row r="612">
          <cell r="A612">
            <v>44405</v>
          </cell>
          <cell r="K612"/>
        </row>
        <row r="613">
          <cell r="A613">
            <v>44404</v>
          </cell>
          <cell r="K613"/>
        </row>
        <row r="614">
          <cell r="A614">
            <v>44403</v>
          </cell>
          <cell r="K614"/>
        </row>
        <row r="615">
          <cell r="A615">
            <v>44400</v>
          </cell>
          <cell r="K615">
            <v>129.15</v>
          </cell>
        </row>
        <row r="616">
          <cell r="A616">
            <v>44399</v>
          </cell>
          <cell r="K616"/>
        </row>
        <row r="617">
          <cell r="A617">
            <v>44398</v>
          </cell>
          <cell r="K617"/>
        </row>
        <row r="618">
          <cell r="A618">
            <v>44397</v>
          </cell>
          <cell r="K618"/>
        </row>
        <row r="619">
          <cell r="A619">
            <v>44396</v>
          </cell>
          <cell r="K619"/>
        </row>
        <row r="620">
          <cell r="A620">
            <v>44393</v>
          </cell>
          <cell r="K620">
            <v>121.27</v>
          </cell>
        </row>
        <row r="621">
          <cell r="A621">
            <v>44392</v>
          </cell>
          <cell r="K621"/>
        </row>
        <row r="622">
          <cell r="A622">
            <v>44391</v>
          </cell>
          <cell r="K622"/>
        </row>
        <row r="623">
          <cell r="A623">
            <v>44390</v>
          </cell>
          <cell r="K623"/>
        </row>
        <row r="624">
          <cell r="A624">
            <v>44389</v>
          </cell>
          <cell r="K624"/>
        </row>
        <row r="625">
          <cell r="A625">
            <v>44386</v>
          </cell>
          <cell r="K625">
            <v>116.79</v>
          </cell>
        </row>
        <row r="626">
          <cell r="A626">
            <v>44385</v>
          </cell>
          <cell r="K626"/>
        </row>
        <row r="627">
          <cell r="A627">
            <v>44384</v>
          </cell>
          <cell r="K627"/>
        </row>
        <row r="628">
          <cell r="A628">
            <v>44383</v>
          </cell>
          <cell r="K628"/>
        </row>
        <row r="629">
          <cell r="A629">
            <v>44382</v>
          </cell>
          <cell r="K629"/>
        </row>
        <row r="630">
          <cell r="A630">
            <v>44379</v>
          </cell>
          <cell r="K630">
            <v>115.27</v>
          </cell>
        </row>
        <row r="631">
          <cell r="A631">
            <v>44378</v>
          </cell>
          <cell r="K631"/>
        </row>
        <row r="632">
          <cell r="A632">
            <v>44377</v>
          </cell>
          <cell r="K632"/>
        </row>
        <row r="633">
          <cell r="A633">
            <v>44376</v>
          </cell>
          <cell r="K633"/>
        </row>
        <row r="634">
          <cell r="A634">
            <v>44375</v>
          </cell>
          <cell r="K634"/>
        </row>
        <row r="635">
          <cell r="A635">
            <v>44372</v>
          </cell>
          <cell r="K635">
            <v>115.27</v>
          </cell>
        </row>
        <row r="636">
          <cell r="A636">
            <v>44371</v>
          </cell>
          <cell r="K636"/>
        </row>
        <row r="637">
          <cell r="A637">
            <v>44370</v>
          </cell>
          <cell r="K637"/>
        </row>
        <row r="638">
          <cell r="A638">
            <v>44369</v>
          </cell>
          <cell r="K638"/>
        </row>
        <row r="639">
          <cell r="A639">
            <v>44368</v>
          </cell>
          <cell r="K639"/>
        </row>
        <row r="640">
          <cell r="A640">
            <v>44365</v>
          </cell>
          <cell r="K640">
            <v>116.28</v>
          </cell>
        </row>
        <row r="641">
          <cell r="A641">
            <v>44364</v>
          </cell>
          <cell r="K641"/>
        </row>
        <row r="642">
          <cell r="A642">
            <v>44363</v>
          </cell>
          <cell r="K642"/>
        </row>
        <row r="643">
          <cell r="A643">
            <v>44362</v>
          </cell>
          <cell r="K643"/>
        </row>
        <row r="644">
          <cell r="A644">
            <v>44361</v>
          </cell>
          <cell r="K644"/>
        </row>
        <row r="645">
          <cell r="A645">
            <v>44358</v>
          </cell>
          <cell r="K645">
            <v>117.59</v>
          </cell>
        </row>
        <row r="646">
          <cell r="A646">
            <v>44357</v>
          </cell>
          <cell r="K646"/>
        </row>
        <row r="647">
          <cell r="A647">
            <v>44356</v>
          </cell>
          <cell r="K647"/>
        </row>
        <row r="648">
          <cell r="A648">
            <v>44355</v>
          </cell>
          <cell r="K648"/>
        </row>
        <row r="649">
          <cell r="A649">
            <v>44354</v>
          </cell>
          <cell r="K649"/>
        </row>
        <row r="650">
          <cell r="A650">
            <v>44351</v>
          </cell>
          <cell r="K650">
            <v>112.6</v>
          </cell>
        </row>
        <row r="651">
          <cell r="A651">
            <v>44350</v>
          </cell>
          <cell r="K651"/>
        </row>
        <row r="652">
          <cell r="A652">
            <v>44349</v>
          </cell>
          <cell r="K652"/>
        </row>
        <row r="653">
          <cell r="A653">
            <v>44348</v>
          </cell>
          <cell r="K653"/>
        </row>
        <row r="654">
          <cell r="A654">
            <v>44344</v>
          </cell>
          <cell r="K654">
            <v>112.1</v>
          </cell>
        </row>
        <row r="655">
          <cell r="A655">
            <v>44343</v>
          </cell>
          <cell r="K655"/>
        </row>
        <row r="656">
          <cell r="A656">
            <v>44342</v>
          </cell>
          <cell r="K656"/>
        </row>
        <row r="657">
          <cell r="A657">
            <v>44341</v>
          </cell>
          <cell r="K657"/>
        </row>
        <row r="658">
          <cell r="A658">
            <v>44340</v>
          </cell>
          <cell r="K658"/>
        </row>
        <row r="659">
          <cell r="A659">
            <v>44337</v>
          </cell>
          <cell r="K659">
            <v>105.4</v>
          </cell>
        </row>
        <row r="660">
          <cell r="A660">
            <v>44336</v>
          </cell>
          <cell r="K660"/>
        </row>
        <row r="661">
          <cell r="A661">
            <v>44335</v>
          </cell>
          <cell r="K661"/>
        </row>
        <row r="662">
          <cell r="A662">
            <v>44334</v>
          </cell>
          <cell r="K662"/>
        </row>
        <row r="663">
          <cell r="A663">
            <v>44333</v>
          </cell>
          <cell r="K663"/>
        </row>
        <row r="664">
          <cell r="A664">
            <v>44330</v>
          </cell>
          <cell r="K664">
            <v>103.85</v>
          </cell>
        </row>
        <row r="665">
          <cell r="A665">
            <v>44329</v>
          </cell>
          <cell r="K665"/>
        </row>
        <row r="666">
          <cell r="A666">
            <v>44328</v>
          </cell>
          <cell r="K666"/>
        </row>
        <row r="667">
          <cell r="A667">
            <v>44327</v>
          </cell>
          <cell r="K667"/>
        </row>
        <row r="668">
          <cell r="A668">
            <v>44326</v>
          </cell>
          <cell r="K668"/>
        </row>
        <row r="669">
          <cell r="A669">
            <v>44323</v>
          </cell>
          <cell r="K669">
            <v>100.49</v>
          </cell>
        </row>
        <row r="670">
          <cell r="A670">
            <v>44322</v>
          </cell>
          <cell r="K670"/>
        </row>
        <row r="671">
          <cell r="A671">
            <v>44321</v>
          </cell>
          <cell r="K671"/>
        </row>
        <row r="672">
          <cell r="A672">
            <v>44320</v>
          </cell>
          <cell r="K672"/>
        </row>
        <row r="673">
          <cell r="A673">
            <v>44316</v>
          </cell>
          <cell r="K673">
            <v>93.14</v>
          </cell>
        </row>
        <row r="674">
          <cell r="A674">
            <v>44315</v>
          </cell>
          <cell r="K674"/>
        </row>
        <row r="675">
          <cell r="A675">
            <v>44314</v>
          </cell>
          <cell r="K675"/>
        </row>
        <row r="676">
          <cell r="A676">
            <v>44313</v>
          </cell>
          <cell r="K676"/>
        </row>
        <row r="677">
          <cell r="A677">
            <v>44312</v>
          </cell>
          <cell r="K677"/>
        </row>
        <row r="678">
          <cell r="A678">
            <v>44309</v>
          </cell>
          <cell r="K678">
            <v>90.72</v>
          </cell>
        </row>
        <row r="679">
          <cell r="A679">
            <v>44308</v>
          </cell>
          <cell r="K679"/>
        </row>
        <row r="680">
          <cell r="A680">
            <v>44307</v>
          </cell>
          <cell r="K680"/>
        </row>
        <row r="681">
          <cell r="A681">
            <v>44306</v>
          </cell>
          <cell r="K681"/>
        </row>
        <row r="682">
          <cell r="A682">
            <v>44305</v>
          </cell>
          <cell r="K682"/>
        </row>
        <row r="683">
          <cell r="A683">
            <v>44302</v>
          </cell>
          <cell r="K683">
            <v>89.92</v>
          </cell>
        </row>
        <row r="684">
          <cell r="A684">
            <v>44301</v>
          </cell>
          <cell r="K684"/>
        </row>
        <row r="685">
          <cell r="A685">
            <v>44300</v>
          </cell>
          <cell r="K685"/>
        </row>
        <row r="686">
          <cell r="A686">
            <v>44299</v>
          </cell>
          <cell r="K686"/>
        </row>
        <row r="687">
          <cell r="A687">
            <v>44298</v>
          </cell>
          <cell r="K687"/>
        </row>
        <row r="688">
          <cell r="A688">
            <v>44295</v>
          </cell>
          <cell r="K688">
            <v>95.95</v>
          </cell>
        </row>
        <row r="689">
          <cell r="A689">
            <v>44294</v>
          </cell>
          <cell r="K689"/>
        </row>
        <row r="690">
          <cell r="A690">
            <v>44293</v>
          </cell>
          <cell r="K690"/>
        </row>
        <row r="691">
          <cell r="A691">
            <v>44292</v>
          </cell>
          <cell r="K691"/>
        </row>
        <row r="692">
          <cell r="A692">
            <v>44291</v>
          </cell>
          <cell r="K692"/>
        </row>
        <row r="693">
          <cell r="A693">
            <v>44287</v>
          </cell>
          <cell r="K693">
            <v>96.6</v>
          </cell>
        </row>
        <row r="694">
          <cell r="A694">
            <v>44286</v>
          </cell>
          <cell r="K694"/>
        </row>
        <row r="695">
          <cell r="A695">
            <v>44285</v>
          </cell>
          <cell r="K695"/>
        </row>
        <row r="696">
          <cell r="A696">
            <v>44284</v>
          </cell>
          <cell r="K696"/>
        </row>
        <row r="697">
          <cell r="A697">
            <v>44281</v>
          </cell>
          <cell r="K697">
            <v>100.1</v>
          </cell>
        </row>
        <row r="698">
          <cell r="A698">
            <v>44280</v>
          </cell>
          <cell r="K698"/>
        </row>
        <row r="699">
          <cell r="A699">
            <v>44279</v>
          </cell>
          <cell r="K699"/>
        </row>
        <row r="700">
          <cell r="A700">
            <v>44278</v>
          </cell>
          <cell r="K700"/>
        </row>
        <row r="701">
          <cell r="A701">
            <v>44277</v>
          </cell>
          <cell r="K701"/>
        </row>
        <row r="702">
          <cell r="A702">
            <v>44274</v>
          </cell>
          <cell r="K702">
            <v>96.48</v>
          </cell>
        </row>
        <row r="703">
          <cell r="A703">
            <v>44273</v>
          </cell>
          <cell r="K703"/>
        </row>
        <row r="704">
          <cell r="A704">
            <v>44272</v>
          </cell>
          <cell r="K704"/>
        </row>
        <row r="705">
          <cell r="A705">
            <v>44271</v>
          </cell>
          <cell r="K705"/>
        </row>
        <row r="706">
          <cell r="A706">
            <v>44270</v>
          </cell>
          <cell r="K706"/>
        </row>
        <row r="707">
          <cell r="A707">
            <v>44267</v>
          </cell>
          <cell r="K707">
            <v>91.56</v>
          </cell>
        </row>
        <row r="708">
          <cell r="A708">
            <v>44266</v>
          </cell>
          <cell r="K708"/>
        </row>
        <row r="709">
          <cell r="A709">
            <v>44265</v>
          </cell>
          <cell r="K709"/>
        </row>
        <row r="710">
          <cell r="A710">
            <v>44264</v>
          </cell>
          <cell r="K710"/>
        </row>
        <row r="711">
          <cell r="A711">
            <v>44263</v>
          </cell>
          <cell r="K711"/>
        </row>
        <row r="712">
          <cell r="A712">
            <v>44260</v>
          </cell>
          <cell r="K712">
            <v>90.96</v>
          </cell>
        </row>
        <row r="713">
          <cell r="A713">
            <v>44259</v>
          </cell>
          <cell r="K713"/>
        </row>
        <row r="714">
          <cell r="A714">
            <v>44258</v>
          </cell>
          <cell r="K714"/>
        </row>
        <row r="715">
          <cell r="A715">
            <v>44257</v>
          </cell>
          <cell r="K715"/>
        </row>
        <row r="716">
          <cell r="A716">
            <v>44256</v>
          </cell>
          <cell r="K716"/>
        </row>
        <row r="717">
          <cell r="A717">
            <v>44253</v>
          </cell>
          <cell r="K717">
            <v>85.6</v>
          </cell>
        </row>
        <row r="718">
          <cell r="A718">
            <v>44252</v>
          </cell>
          <cell r="K718"/>
        </row>
        <row r="719">
          <cell r="A719">
            <v>44251</v>
          </cell>
          <cell r="K719"/>
        </row>
        <row r="720">
          <cell r="A720">
            <v>44250</v>
          </cell>
          <cell r="K720"/>
        </row>
        <row r="721">
          <cell r="A721">
            <v>44249</v>
          </cell>
          <cell r="K721"/>
        </row>
        <row r="722">
          <cell r="A722">
            <v>44246</v>
          </cell>
          <cell r="K722">
            <v>89.3</v>
          </cell>
        </row>
        <row r="723">
          <cell r="A723">
            <v>44245</v>
          </cell>
          <cell r="K723"/>
        </row>
        <row r="724">
          <cell r="A724">
            <v>44244</v>
          </cell>
          <cell r="K724"/>
        </row>
        <row r="725">
          <cell r="A725">
            <v>44243</v>
          </cell>
          <cell r="K725"/>
        </row>
        <row r="726">
          <cell r="A726">
            <v>44242</v>
          </cell>
          <cell r="K726"/>
        </row>
        <row r="727">
          <cell r="A727">
            <v>44239</v>
          </cell>
          <cell r="K727">
            <v>90.18</v>
          </cell>
        </row>
        <row r="728">
          <cell r="A728">
            <v>44238</v>
          </cell>
          <cell r="K728"/>
        </row>
        <row r="729">
          <cell r="A729">
            <v>44237</v>
          </cell>
          <cell r="K729"/>
        </row>
        <row r="730">
          <cell r="A730">
            <v>44236</v>
          </cell>
          <cell r="K730"/>
        </row>
        <row r="731">
          <cell r="A731">
            <v>44235</v>
          </cell>
          <cell r="K731"/>
        </row>
        <row r="732">
          <cell r="A732">
            <v>44232</v>
          </cell>
          <cell r="K732">
            <v>83.95</v>
          </cell>
        </row>
        <row r="733">
          <cell r="A733">
            <v>44231</v>
          </cell>
          <cell r="K733"/>
        </row>
        <row r="734">
          <cell r="A734">
            <v>44230</v>
          </cell>
          <cell r="K734"/>
        </row>
        <row r="735">
          <cell r="A735">
            <v>44229</v>
          </cell>
          <cell r="K735"/>
        </row>
        <row r="736">
          <cell r="A736">
            <v>44228</v>
          </cell>
          <cell r="K736"/>
        </row>
        <row r="737">
          <cell r="A737">
            <v>44225</v>
          </cell>
          <cell r="K737">
            <v>87.76</v>
          </cell>
        </row>
        <row r="738">
          <cell r="A738">
            <v>44224</v>
          </cell>
          <cell r="K738"/>
        </row>
        <row r="739">
          <cell r="A739">
            <v>44223</v>
          </cell>
          <cell r="K739"/>
        </row>
        <row r="740">
          <cell r="A740">
            <v>44222</v>
          </cell>
          <cell r="K740"/>
        </row>
        <row r="741">
          <cell r="A741">
            <v>44221</v>
          </cell>
          <cell r="K741"/>
        </row>
        <row r="742">
          <cell r="A742">
            <v>44218</v>
          </cell>
          <cell r="K742">
            <v>89.97</v>
          </cell>
        </row>
        <row r="743">
          <cell r="A743">
            <v>44217</v>
          </cell>
          <cell r="K743"/>
        </row>
        <row r="744">
          <cell r="A744">
            <v>44216</v>
          </cell>
          <cell r="K744"/>
        </row>
        <row r="745">
          <cell r="A745">
            <v>44215</v>
          </cell>
          <cell r="K745"/>
        </row>
        <row r="746">
          <cell r="A746">
            <v>44214</v>
          </cell>
          <cell r="K746"/>
        </row>
        <row r="747">
          <cell r="A747">
            <v>44211</v>
          </cell>
          <cell r="K747">
            <v>95.54</v>
          </cell>
        </row>
        <row r="748">
          <cell r="A748">
            <v>44210</v>
          </cell>
          <cell r="K748"/>
        </row>
        <row r="749">
          <cell r="A749">
            <v>44209</v>
          </cell>
          <cell r="K749"/>
        </row>
        <row r="750">
          <cell r="A750">
            <v>44208</v>
          </cell>
          <cell r="K750"/>
        </row>
        <row r="751">
          <cell r="A751">
            <v>44207</v>
          </cell>
          <cell r="K751"/>
        </row>
        <row r="752">
          <cell r="A752">
            <v>44204</v>
          </cell>
          <cell r="K752">
            <v>87.88</v>
          </cell>
        </row>
        <row r="753">
          <cell r="A753">
            <v>44203</v>
          </cell>
          <cell r="K753"/>
        </row>
        <row r="754">
          <cell r="A754">
            <v>44202</v>
          </cell>
          <cell r="K754"/>
        </row>
        <row r="755">
          <cell r="A755">
            <v>44201</v>
          </cell>
          <cell r="K755"/>
        </row>
        <row r="756">
          <cell r="A756">
            <v>44200</v>
          </cell>
          <cell r="K756"/>
        </row>
        <row r="757">
          <cell r="A757">
            <v>44196</v>
          </cell>
          <cell r="K757">
            <v>91.34</v>
          </cell>
        </row>
        <row r="758">
          <cell r="A758">
            <v>44195</v>
          </cell>
          <cell r="K758"/>
        </row>
        <row r="759">
          <cell r="A759">
            <v>44194</v>
          </cell>
          <cell r="K759"/>
        </row>
        <row r="760">
          <cell r="A760">
            <v>44189</v>
          </cell>
          <cell r="K760">
            <v>97.4</v>
          </cell>
        </row>
        <row r="761">
          <cell r="A761">
            <v>44188</v>
          </cell>
          <cell r="K761"/>
        </row>
        <row r="762">
          <cell r="A762">
            <v>44187</v>
          </cell>
          <cell r="K762"/>
        </row>
        <row r="763">
          <cell r="A763">
            <v>44186</v>
          </cell>
          <cell r="K763"/>
        </row>
        <row r="764">
          <cell r="A764">
            <v>44183</v>
          </cell>
          <cell r="K764">
            <v>97.92</v>
          </cell>
        </row>
        <row r="765">
          <cell r="A765">
            <v>44182</v>
          </cell>
          <cell r="K765"/>
        </row>
        <row r="766">
          <cell r="A766">
            <v>44181</v>
          </cell>
          <cell r="K766"/>
        </row>
        <row r="767">
          <cell r="A767">
            <v>44180</v>
          </cell>
          <cell r="K767"/>
        </row>
        <row r="768">
          <cell r="A768">
            <v>44179</v>
          </cell>
          <cell r="K768"/>
        </row>
        <row r="769">
          <cell r="A769">
            <v>44176</v>
          </cell>
          <cell r="K769">
            <v>84.49</v>
          </cell>
        </row>
        <row r="770">
          <cell r="A770">
            <v>44175</v>
          </cell>
          <cell r="K770"/>
        </row>
        <row r="771">
          <cell r="A771">
            <v>44174</v>
          </cell>
          <cell r="K771"/>
        </row>
        <row r="772">
          <cell r="A772">
            <v>44173</v>
          </cell>
          <cell r="K772"/>
        </row>
        <row r="773">
          <cell r="A773">
            <v>44172</v>
          </cell>
          <cell r="K773"/>
        </row>
        <row r="774">
          <cell r="A774">
            <v>44169</v>
          </cell>
          <cell r="K774">
            <v>81.900000000000006</v>
          </cell>
        </row>
        <row r="775">
          <cell r="A775">
            <v>44168</v>
          </cell>
          <cell r="K775"/>
        </row>
        <row r="776">
          <cell r="A776">
            <v>44167</v>
          </cell>
          <cell r="K776"/>
        </row>
        <row r="777">
          <cell r="A777">
            <v>44166</v>
          </cell>
          <cell r="K777"/>
        </row>
        <row r="778">
          <cell r="A778">
            <v>44165</v>
          </cell>
          <cell r="K778"/>
        </row>
        <row r="779">
          <cell r="A779">
            <v>44162</v>
          </cell>
          <cell r="K779">
            <v>77.72</v>
          </cell>
        </row>
        <row r="780">
          <cell r="A780">
            <v>44161</v>
          </cell>
          <cell r="K780"/>
        </row>
        <row r="781">
          <cell r="A781">
            <v>44160</v>
          </cell>
          <cell r="K781"/>
        </row>
        <row r="782">
          <cell r="A782">
            <v>44159</v>
          </cell>
          <cell r="K782"/>
        </row>
        <row r="783">
          <cell r="A783">
            <v>44158</v>
          </cell>
          <cell r="K783"/>
        </row>
        <row r="784">
          <cell r="A784">
            <v>44155</v>
          </cell>
          <cell r="K784">
            <v>69.790000000000006</v>
          </cell>
        </row>
        <row r="785">
          <cell r="A785">
            <v>44154</v>
          </cell>
          <cell r="K785"/>
        </row>
        <row r="786">
          <cell r="A786">
            <v>44153</v>
          </cell>
          <cell r="K786"/>
        </row>
        <row r="787">
          <cell r="A787">
            <v>44152</v>
          </cell>
          <cell r="K787"/>
        </row>
        <row r="788">
          <cell r="A788">
            <v>44151</v>
          </cell>
          <cell r="K788"/>
        </row>
        <row r="789">
          <cell r="A789">
            <v>44148</v>
          </cell>
          <cell r="K789">
            <v>67.13</v>
          </cell>
        </row>
        <row r="790">
          <cell r="A790">
            <v>44147</v>
          </cell>
          <cell r="K790"/>
        </row>
        <row r="791">
          <cell r="A791">
            <v>44146</v>
          </cell>
          <cell r="K791"/>
        </row>
        <row r="792">
          <cell r="A792">
            <v>44145</v>
          </cell>
          <cell r="K792"/>
        </row>
        <row r="793">
          <cell r="A793">
            <v>44144</v>
          </cell>
          <cell r="K793"/>
        </row>
        <row r="794">
          <cell r="A794">
            <v>44141</v>
          </cell>
          <cell r="K794">
            <v>61.35</v>
          </cell>
        </row>
        <row r="795">
          <cell r="A795">
            <v>44140</v>
          </cell>
          <cell r="K795"/>
        </row>
        <row r="796">
          <cell r="A796">
            <v>44139</v>
          </cell>
          <cell r="K796"/>
        </row>
        <row r="797">
          <cell r="A797">
            <v>44138</v>
          </cell>
          <cell r="K797"/>
        </row>
        <row r="798">
          <cell r="A798">
            <v>44137</v>
          </cell>
          <cell r="K798"/>
        </row>
        <row r="799">
          <cell r="A799">
            <v>44134</v>
          </cell>
          <cell r="K799">
            <v>59.71</v>
          </cell>
        </row>
        <row r="800">
          <cell r="A800">
            <v>44133</v>
          </cell>
          <cell r="K800"/>
        </row>
        <row r="801">
          <cell r="A801">
            <v>44132</v>
          </cell>
          <cell r="K801"/>
        </row>
        <row r="802">
          <cell r="A802">
            <v>44131</v>
          </cell>
          <cell r="K802"/>
        </row>
        <row r="803">
          <cell r="A803">
            <v>44130</v>
          </cell>
          <cell r="K803"/>
        </row>
        <row r="804">
          <cell r="A804">
            <v>44127</v>
          </cell>
          <cell r="K804">
            <v>57.37</v>
          </cell>
        </row>
        <row r="805">
          <cell r="A805">
            <v>44126</v>
          </cell>
          <cell r="K805"/>
        </row>
        <row r="806">
          <cell r="A806">
            <v>44125</v>
          </cell>
          <cell r="K806"/>
        </row>
        <row r="807">
          <cell r="A807">
            <v>44124</v>
          </cell>
          <cell r="K807"/>
        </row>
        <row r="808">
          <cell r="A808">
            <v>44123</v>
          </cell>
          <cell r="K808"/>
        </row>
        <row r="809">
          <cell r="A809">
            <v>44120</v>
          </cell>
          <cell r="K809">
            <v>57.01</v>
          </cell>
        </row>
        <row r="810">
          <cell r="A810">
            <v>44119</v>
          </cell>
          <cell r="K810"/>
        </row>
        <row r="811">
          <cell r="A811">
            <v>44118</v>
          </cell>
          <cell r="K811"/>
        </row>
        <row r="812">
          <cell r="A812">
            <v>44117</v>
          </cell>
          <cell r="K812"/>
        </row>
        <row r="813">
          <cell r="A813">
            <v>44116</v>
          </cell>
          <cell r="K813"/>
        </row>
        <row r="814">
          <cell r="A814">
            <v>44113</v>
          </cell>
          <cell r="K814">
            <v>59.93</v>
          </cell>
        </row>
        <row r="815">
          <cell r="A815">
            <v>44112</v>
          </cell>
          <cell r="K815"/>
        </row>
        <row r="816">
          <cell r="A816">
            <v>44111</v>
          </cell>
          <cell r="K816"/>
        </row>
        <row r="817">
          <cell r="A817">
            <v>44110</v>
          </cell>
          <cell r="K817"/>
        </row>
        <row r="818">
          <cell r="A818">
            <v>44109</v>
          </cell>
          <cell r="K818"/>
        </row>
        <row r="819">
          <cell r="A819">
            <v>44106</v>
          </cell>
          <cell r="K819">
            <v>61.72</v>
          </cell>
        </row>
        <row r="820">
          <cell r="A820">
            <v>44105</v>
          </cell>
          <cell r="K820"/>
        </row>
        <row r="821">
          <cell r="A821">
            <v>44104</v>
          </cell>
          <cell r="K821"/>
        </row>
        <row r="822">
          <cell r="A822">
            <v>44103</v>
          </cell>
          <cell r="K822"/>
        </row>
        <row r="823">
          <cell r="A823">
            <v>44102</v>
          </cell>
          <cell r="K823"/>
        </row>
        <row r="824">
          <cell r="A824">
            <v>44099</v>
          </cell>
          <cell r="K824">
            <v>58.95</v>
          </cell>
        </row>
        <row r="825">
          <cell r="A825">
            <v>44098</v>
          </cell>
          <cell r="K825"/>
        </row>
        <row r="826">
          <cell r="A826">
            <v>44097</v>
          </cell>
          <cell r="K826"/>
        </row>
        <row r="827">
          <cell r="A827">
            <v>44096</v>
          </cell>
          <cell r="K827"/>
        </row>
        <row r="828">
          <cell r="A828">
            <v>44095</v>
          </cell>
          <cell r="K828"/>
        </row>
        <row r="829">
          <cell r="A829">
            <v>44092</v>
          </cell>
          <cell r="K829">
            <v>56.18</v>
          </cell>
        </row>
        <row r="830">
          <cell r="A830">
            <v>44091</v>
          </cell>
          <cell r="K830"/>
        </row>
        <row r="831">
          <cell r="A831">
            <v>44090</v>
          </cell>
          <cell r="K831"/>
        </row>
        <row r="832">
          <cell r="A832">
            <v>44089</v>
          </cell>
          <cell r="K832"/>
        </row>
        <row r="833">
          <cell r="A833">
            <v>44088</v>
          </cell>
          <cell r="K833"/>
        </row>
        <row r="834">
          <cell r="A834">
            <v>44085</v>
          </cell>
          <cell r="K834">
            <v>55.72</v>
          </cell>
        </row>
        <row r="835">
          <cell r="A835">
            <v>44084</v>
          </cell>
          <cell r="K835"/>
        </row>
        <row r="836">
          <cell r="A836">
            <v>44083</v>
          </cell>
          <cell r="K836"/>
        </row>
        <row r="837">
          <cell r="A837">
            <v>44082</v>
          </cell>
          <cell r="K837"/>
        </row>
        <row r="838">
          <cell r="A838">
            <v>44081</v>
          </cell>
          <cell r="K838"/>
        </row>
        <row r="839">
          <cell r="A839">
            <v>44078</v>
          </cell>
          <cell r="K839">
            <v>57.13</v>
          </cell>
        </row>
        <row r="840">
          <cell r="A840">
            <v>44077</v>
          </cell>
          <cell r="K840"/>
        </row>
        <row r="841">
          <cell r="A841">
            <v>44076</v>
          </cell>
          <cell r="K841"/>
        </row>
        <row r="842">
          <cell r="A842">
            <v>44075</v>
          </cell>
          <cell r="K842"/>
        </row>
        <row r="843">
          <cell r="A843">
            <v>44071</v>
          </cell>
          <cell r="K843">
            <v>55.91</v>
          </cell>
        </row>
        <row r="844">
          <cell r="A844">
            <v>44070</v>
          </cell>
          <cell r="K844"/>
        </row>
        <row r="845">
          <cell r="A845">
            <v>44069</v>
          </cell>
          <cell r="K845"/>
        </row>
        <row r="846">
          <cell r="A846">
            <v>44068</v>
          </cell>
          <cell r="K846"/>
        </row>
        <row r="847">
          <cell r="A847">
            <v>44067</v>
          </cell>
          <cell r="K847"/>
        </row>
        <row r="848">
          <cell r="A848">
            <v>44064</v>
          </cell>
          <cell r="K848">
            <v>56.36</v>
          </cell>
        </row>
        <row r="849">
          <cell r="A849">
            <v>44063</v>
          </cell>
          <cell r="K849"/>
        </row>
        <row r="850">
          <cell r="A850">
            <v>44062</v>
          </cell>
          <cell r="K850"/>
        </row>
        <row r="851">
          <cell r="A851">
            <v>44061</v>
          </cell>
          <cell r="K851"/>
        </row>
        <row r="852">
          <cell r="A852">
            <v>44060</v>
          </cell>
          <cell r="K852"/>
        </row>
        <row r="853">
          <cell r="A853">
            <v>44057</v>
          </cell>
          <cell r="K853">
            <v>54.21</v>
          </cell>
        </row>
        <row r="854">
          <cell r="A854">
            <v>44056</v>
          </cell>
          <cell r="K854"/>
        </row>
        <row r="855">
          <cell r="A855">
            <v>44055</v>
          </cell>
          <cell r="K855"/>
        </row>
        <row r="856">
          <cell r="A856">
            <v>44054</v>
          </cell>
          <cell r="K856"/>
        </row>
        <row r="857">
          <cell r="A857">
            <v>44053</v>
          </cell>
          <cell r="K857"/>
        </row>
        <row r="858">
          <cell r="A858">
            <v>44050</v>
          </cell>
          <cell r="K858">
            <v>54.02</v>
          </cell>
        </row>
        <row r="859">
          <cell r="A859">
            <v>44049</v>
          </cell>
          <cell r="K859"/>
        </row>
        <row r="860">
          <cell r="A860">
            <v>44048</v>
          </cell>
          <cell r="K860"/>
        </row>
        <row r="861">
          <cell r="A861">
            <v>44047</v>
          </cell>
          <cell r="K861"/>
        </row>
        <row r="862">
          <cell r="A862">
            <v>44046</v>
          </cell>
          <cell r="K862"/>
        </row>
        <row r="863">
          <cell r="A863">
            <v>44043</v>
          </cell>
          <cell r="K863">
            <v>52.12</v>
          </cell>
        </row>
        <row r="864">
          <cell r="A864">
            <v>44042</v>
          </cell>
          <cell r="K864"/>
        </row>
        <row r="865">
          <cell r="A865">
            <v>44041</v>
          </cell>
          <cell r="K865"/>
        </row>
        <row r="866">
          <cell r="A866">
            <v>44040</v>
          </cell>
          <cell r="K866"/>
        </row>
        <row r="867">
          <cell r="A867">
            <v>44039</v>
          </cell>
          <cell r="K867"/>
        </row>
        <row r="868">
          <cell r="A868">
            <v>44036</v>
          </cell>
          <cell r="K868">
            <v>53.33</v>
          </cell>
        </row>
        <row r="869">
          <cell r="A869">
            <v>44035</v>
          </cell>
          <cell r="K869"/>
        </row>
        <row r="870">
          <cell r="A870">
            <v>44034</v>
          </cell>
          <cell r="K870"/>
        </row>
        <row r="871">
          <cell r="A871">
            <v>44033</v>
          </cell>
          <cell r="K871"/>
        </row>
        <row r="872">
          <cell r="A872">
            <v>44032</v>
          </cell>
          <cell r="K872"/>
        </row>
        <row r="873">
          <cell r="A873">
            <v>44029</v>
          </cell>
          <cell r="K873">
            <v>54.84</v>
          </cell>
        </row>
        <row r="874">
          <cell r="A874">
            <v>44028</v>
          </cell>
          <cell r="K874"/>
        </row>
        <row r="875">
          <cell r="A875">
            <v>44027</v>
          </cell>
          <cell r="K875"/>
        </row>
        <row r="876">
          <cell r="A876">
            <v>44026</v>
          </cell>
          <cell r="K876"/>
        </row>
        <row r="877">
          <cell r="A877">
            <v>44025</v>
          </cell>
          <cell r="K877"/>
        </row>
        <row r="878">
          <cell r="A878">
            <v>44022</v>
          </cell>
          <cell r="K878">
            <v>53.56</v>
          </cell>
        </row>
        <row r="879">
          <cell r="A879">
            <v>44021</v>
          </cell>
          <cell r="K879"/>
        </row>
        <row r="880">
          <cell r="A880">
            <v>44020</v>
          </cell>
          <cell r="K880"/>
        </row>
        <row r="881">
          <cell r="A881">
            <v>44019</v>
          </cell>
          <cell r="K881"/>
        </row>
        <row r="882">
          <cell r="A882">
            <v>44018</v>
          </cell>
          <cell r="K882"/>
        </row>
        <row r="883">
          <cell r="A883">
            <v>44015</v>
          </cell>
          <cell r="K883">
            <v>53.15</v>
          </cell>
        </row>
        <row r="884">
          <cell r="A884">
            <v>44014</v>
          </cell>
          <cell r="K884"/>
        </row>
        <row r="885">
          <cell r="A885">
            <v>44013</v>
          </cell>
          <cell r="K885"/>
        </row>
        <row r="886">
          <cell r="A886">
            <v>44012</v>
          </cell>
          <cell r="K886"/>
        </row>
        <row r="887">
          <cell r="A887">
            <v>44011</v>
          </cell>
          <cell r="K887"/>
        </row>
        <row r="888">
          <cell r="A888">
            <v>44008</v>
          </cell>
          <cell r="K888">
            <v>50.05</v>
          </cell>
        </row>
        <row r="889">
          <cell r="A889">
            <v>44007</v>
          </cell>
          <cell r="K889"/>
        </row>
        <row r="890">
          <cell r="A890">
            <v>44006</v>
          </cell>
          <cell r="K890"/>
        </row>
        <row r="891">
          <cell r="A891">
            <v>44005</v>
          </cell>
          <cell r="K891"/>
        </row>
        <row r="892">
          <cell r="A892">
            <v>44004</v>
          </cell>
          <cell r="K892"/>
        </row>
        <row r="893">
          <cell r="A893">
            <v>44001</v>
          </cell>
          <cell r="K893">
            <v>54.15</v>
          </cell>
        </row>
        <row r="894">
          <cell r="A894">
            <v>44000</v>
          </cell>
          <cell r="K894"/>
        </row>
        <row r="895">
          <cell r="A895">
            <v>43999</v>
          </cell>
          <cell r="K895"/>
        </row>
        <row r="896">
          <cell r="A896">
            <v>43998</v>
          </cell>
          <cell r="K896"/>
        </row>
        <row r="897">
          <cell r="A897">
            <v>43997</v>
          </cell>
          <cell r="K897"/>
        </row>
        <row r="898">
          <cell r="A898">
            <v>43994</v>
          </cell>
          <cell r="K898">
            <v>55.34</v>
          </cell>
        </row>
        <row r="899">
          <cell r="A899">
            <v>43993</v>
          </cell>
          <cell r="K899"/>
        </row>
        <row r="900">
          <cell r="A900">
            <v>43992</v>
          </cell>
          <cell r="K900"/>
        </row>
        <row r="901">
          <cell r="A901">
            <v>43991</v>
          </cell>
          <cell r="K901"/>
        </row>
        <row r="902">
          <cell r="A902">
            <v>43990</v>
          </cell>
          <cell r="K902"/>
        </row>
        <row r="903">
          <cell r="A903">
            <v>43987</v>
          </cell>
          <cell r="K903">
            <v>59.32</v>
          </cell>
        </row>
        <row r="904">
          <cell r="A904">
            <v>43986</v>
          </cell>
          <cell r="K904"/>
        </row>
        <row r="905">
          <cell r="A905">
            <v>43985</v>
          </cell>
          <cell r="K905"/>
        </row>
        <row r="906">
          <cell r="A906">
            <v>43984</v>
          </cell>
          <cell r="K906"/>
        </row>
        <row r="907">
          <cell r="A907">
            <v>43983</v>
          </cell>
          <cell r="K907"/>
        </row>
        <row r="908">
          <cell r="A908">
            <v>43980</v>
          </cell>
          <cell r="K908">
            <v>55.27</v>
          </cell>
        </row>
        <row r="909">
          <cell r="A909">
            <v>43979</v>
          </cell>
          <cell r="K909"/>
        </row>
        <row r="910">
          <cell r="A910">
            <v>43978</v>
          </cell>
          <cell r="K910"/>
        </row>
        <row r="911">
          <cell r="A911">
            <v>43977</v>
          </cell>
          <cell r="K911"/>
        </row>
        <row r="912">
          <cell r="A912">
            <v>43973</v>
          </cell>
          <cell r="K912">
            <v>54.93</v>
          </cell>
        </row>
        <row r="913">
          <cell r="A913">
            <v>43972</v>
          </cell>
          <cell r="K913"/>
        </row>
        <row r="914">
          <cell r="A914">
            <v>43971</v>
          </cell>
          <cell r="K914"/>
        </row>
        <row r="915">
          <cell r="A915">
            <v>43970</v>
          </cell>
          <cell r="K915"/>
        </row>
        <row r="916">
          <cell r="A916">
            <v>43969</v>
          </cell>
          <cell r="K916"/>
        </row>
        <row r="917">
          <cell r="A917">
            <v>43966</v>
          </cell>
          <cell r="K917">
            <v>53.17</v>
          </cell>
        </row>
        <row r="918">
          <cell r="A918">
            <v>43965</v>
          </cell>
          <cell r="K918"/>
        </row>
        <row r="919">
          <cell r="A919">
            <v>43964</v>
          </cell>
          <cell r="K919"/>
        </row>
        <row r="920">
          <cell r="A920">
            <v>43963</v>
          </cell>
          <cell r="K920"/>
        </row>
        <row r="921">
          <cell r="A921">
            <v>43962</v>
          </cell>
          <cell r="K921"/>
        </row>
        <row r="922">
          <cell r="A922">
            <v>43959</v>
          </cell>
          <cell r="K922"/>
        </row>
        <row r="923">
          <cell r="A923">
            <v>43958</v>
          </cell>
          <cell r="K923">
            <v>51.91</v>
          </cell>
        </row>
        <row r="924">
          <cell r="A924">
            <v>43957</v>
          </cell>
          <cell r="K924"/>
        </row>
        <row r="925">
          <cell r="A925">
            <v>43956</v>
          </cell>
          <cell r="K925"/>
        </row>
        <row r="926">
          <cell r="A926">
            <v>43955</v>
          </cell>
          <cell r="K926"/>
        </row>
        <row r="927">
          <cell r="A927">
            <v>43952</v>
          </cell>
          <cell r="K927">
            <v>49.47</v>
          </cell>
        </row>
        <row r="928">
          <cell r="A928">
            <v>43951</v>
          </cell>
          <cell r="K928"/>
        </row>
        <row r="929">
          <cell r="A929">
            <v>43950</v>
          </cell>
          <cell r="K929"/>
        </row>
        <row r="930">
          <cell r="A930">
            <v>43949</v>
          </cell>
          <cell r="K930"/>
        </row>
        <row r="931">
          <cell r="A931">
            <v>43948</v>
          </cell>
          <cell r="K931"/>
        </row>
        <row r="932">
          <cell r="A932">
            <v>43945</v>
          </cell>
          <cell r="K932">
            <v>44.53</v>
          </cell>
        </row>
        <row r="933">
          <cell r="A933">
            <v>43944</v>
          </cell>
          <cell r="K933"/>
        </row>
        <row r="934">
          <cell r="A934">
            <v>43943</v>
          </cell>
          <cell r="K934"/>
        </row>
        <row r="935">
          <cell r="A935">
            <v>43942</v>
          </cell>
          <cell r="K935"/>
        </row>
        <row r="936">
          <cell r="A936">
            <v>43941</v>
          </cell>
          <cell r="K936"/>
        </row>
        <row r="937">
          <cell r="A937">
            <v>43938</v>
          </cell>
          <cell r="K937">
            <v>51.7</v>
          </cell>
        </row>
        <row r="938">
          <cell r="A938">
            <v>43937</v>
          </cell>
          <cell r="K938"/>
        </row>
        <row r="939">
          <cell r="A939">
            <v>43936</v>
          </cell>
          <cell r="K939"/>
        </row>
        <row r="940">
          <cell r="A940">
            <v>43935</v>
          </cell>
          <cell r="K940"/>
        </row>
        <row r="941">
          <cell r="A941">
            <v>43930</v>
          </cell>
          <cell r="K941">
            <v>59.57</v>
          </cell>
        </row>
        <row r="942">
          <cell r="A942">
            <v>43929</v>
          </cell>
          <cell r="K942"/>
        </row>
        <row r="943">
          <cell r="A943">
            <v>43928</v>
          </cell>
          <cell r="K943"/>
        </row>
        <row r="944">
          <cell r="A944">
            <v>43927</v>
          </cell>
          <cell r="K944"/>
        </row>
        <row r="945">
          <cell r="A945">
            <v>43924</v>
          </cell>
          <cell r="K945">
            <v>70.569999999999993</v>
          </cell>
        </row>
        <row r="946">
          <cell r="A946">
            <v>43923</v>
          </cell>
          <cell r="K946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tabSelected="1" workbookViewId="0">
      <selection activeCell="H14" sqref="H14"/>
    </sheetView>
  </sheetViews>
  <sheetFormatPr defaultColWidth="15.6640625" defaultRowHeight="14.4" x14ac:dyDescent="0.3"/>
  <cols>
    <col min="1" max="1" width="15.6640625" customWidth="1"/>
    <col min="2" max="6" width="17.109375" style="8" customWidth="1"/>
  </cols>
  <sheetData>
    <row r="1" spans="1:6" s="5" customFormat="1" ht="72" x14ac:dyDescent="0.3">
      <c r="A1" s="1" cm="1">
        <f t="array" aca="1" ref="A1" ca="1">A1:H115</f>
        <v>0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</row>
    <row r="2" spans="1:6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3">
      <c r="A3" s="2">
        <v>43923</v>
      </c>
      <c r="B3" s="6">
        <v>41</v>
      </c>
      <c r="C3" s="6">
        <v>53.22</v>
      </c>
      <c r="D3" s="6">
        <v>64.7</v>
      </c>
      <c r="E3" s="6">
        <f>'2023'!E254</f>
        <v>97.56</v>
      </c>
      <c r="F3" s="6">
        <v>60.5</v>
      </c>
    </row>
    <row r="4" spans="1:6" x14ac:dyDescent="0.3">
      <c r="A4" s="3">
        <v>43924</v>
      </c>
      <c r="B4" s="7">
        <v>40.340000000000003</v>
      </c>
      <c r="C4" s="7">
        <v>52.36</v>
      </c>
      <c r="D4" s="7">
        <v>63.1</v>
      </c>
      <c r="E4" s="7">
        <f>_xlfn.XLOOKUP(A4,'[1]Price History'!$A$3:$A$946,'[1]Price History'!$K$3:$K$946)</f>
        <v>70.569999999999993</v>
      </c>
      <c r="F4" s="7">
        <v>62.03</v>
      </c>
    </row>
    <row r="5" spans="1:6" x14ac:dyDescent="0.3">
      <c r="A5" s="2">
        <v>43927</v>
      </c>
      <c r="B5" s="6">
        <v>40.340000000000003</v>
      </c>
      <c r="C5" s="6">
        <v>52.36</v>
      </c>
      <c r="D5" s="6">
        <v>63.1</v>
      </c>
      <c r="E5" s="6">
        <f>E4</f>
        <v>70.569999999999993</v>
      </c>
      <c r="F5" s="6">
        <v>62.03</v>
      </c>
    </row>
    <row r="6" spans="1:6" x14ac:dyDescent="0.3">
      <c r="A6" s="3">
        <v>43928</v>
      </c>
      <c r="B6" s="7">
        <v>40.340000000000003</v>
      </c>
      <c r="C6" s="7">
        <v>52.36</v>
      </c>
      <c r="D6" s="7">
        <v>63.1</v>
      </c>
      <c r="E6" s="7">
        <f>E5</f>
        <v>70.569999999999993</v>
      </c>
      <c r="F6" s="7">
        <v>62.03</v>
      </c>
    </row>
    <row r="7" spans="1:6" x14ac:dyDescent="0.3">
      <c r="A7" s="2">
        <v>43929</v>
      </c>
      <c r="B7" s="6">
        <v>40.340000000000003</v>
      </c>
      <c r="C7" s="6">
        <v>52.36</v>
      </c>
      <c r="D7" s="6">
        <v>63.1</v>
      </c>
      <c r="E7" s="6">
        <f>E6</f>
        <v>70.569999999999993</v>
      </c>
      <c r="F7" s="6">
        <v>62.03</v>
      </c>
    </row>
    <row r="8" spans="1:6" x14ac:dyDescent="0.3">
      <c r="A8" s="3">
        <v>43930</v>
      </c>
      <c r="B8" s="7">
        <v>33.82</v>
      </c>
      <c r="C8" s="7">
        <v>43.58</v>
      </c>
      <c r="D8" s="7">
        <v>54.81</v>
      </c>
      <c r="E8" s="7">
        <f>_xlfn.XLOOKUP(A8,'[1]Price History'!$A$3:$A$946,'[1]Price History'!$K$3:$K$946)</f>
        <v>59.57</v>
      </c>
      <c r="F8" s="7">
        <v>54.74</v>
      </c>
    </row>
    <row r="9" spans="1:6" x14ac:dyDescent="0.3">
      <c r="A9" s="2">
        <v>43934</v>
      </c>
      <c r="B9" s="6"/>
      <c r="C9" s="6"/>
      <c r="D9" s="6"/>
      <c r="E9" s="6">
        <f>E8</f>
        <v>59.57</v>
      </c>
      <c r="F9" s="6"/>
    </row>
    <row r="10" spans="1:6" x14ac:dyDescent="0.3">
      <c r="A10" s="3">
        <v>43935</v>
      </c>
      <c r="B10" s="7">
        <v>33.82</v>
      </c>
      <c r="C10" s="7">
        <v>43.58</v>
      </c>
      <c r="D10" s="7">
        <v>54.81</v>
      </c>
      <c r="E10" s="7">
        <f>E9</f>
        <v>59.57</v>
      </c>
      <c r="F10" s="7">
        <v>54.74</v>
      </c>
    </row>
    <row r="11" spans="1:6" x14ac:dyDescent="0.3">
      <c r="A11" s="2">
        <v>43936</v>
      </c>
      <c r="B11" s="6">
        <v>33.82</v>
      </c>
      <c r="C11" s="6">
        <v>43.58</v>
      </c>
      <c r="D11" s="6">
        <v>54.81</v>
      </c>
      <c r="E11" s="6">
        <f>E10</f>
        <v>59.57</v>
      </c>
      <c r="F11" s="6">
        <v>54.74</v>
      </c>
    </row>
    <row r="12" spans="1:6" x14ac:dyDescent="0.3">
      <c r="A12" s="3">
        <v>43937</v>
      </c>
      <c r="B12" s="7">
        <v>33.82</v>
      </c>
      <c r="C12" s="7">
        <v>43.58</v>
      </c>
      <c r="D12" s="7">
        <v>54.81</v>
      </c>
      <c r="E12" s="7">
        <f>E11</f>
        <v>59.57</v>
      </c>
      <c r="F12" s="7">
        <v>54.74</v>
      </c>
    </row>
    <row r="13" spans="1:6" x14ac:dyDescent="0.3">
      <c r="A13" s="2">
        <v>43938</v>
      </c>
      <c r="B13" s="6">
        <v>31.49</v>
      </c>
      <c r="C13" s="6">
        <v>38.44</v>
      </c>
      <c r="D13" s="6">
        <v>51.1</v>
      </c>
      <c r="E13" s="6">
        <f>_xlfn.XLOOKUP(A13,'[1]Price History'!$A$3:$A$946,'[1]Price History'!$K$3:$K$946)</f>
        <v>51.7</v>
      </c>
      <c r="F13" s="6">
        <v>48.89</v>
      </c>
    </row>
    <row r="14" spans="1:6" x14ac:dyDescent="0.3">
      <c r="A14" s="3">
        <v>43941</v>
      </c>
      <c r="B14" s="7">
        <v>31.49</v>
      </c>
      <c r="C14" s="7">
        <v>38.44</v>
      </c>
      <c r="D14" s="7">
        <v>51.1</v>
      </c>
      <c r="E14" s="7">
        <f>E13</f>
        <v>51.7</v>
      </c>
      <c r="F14" s="7">
        <v>48.89</v>
      </c>
    </row>
    <row r="15" spans="1:6" x14ac:dyDescent="0.3">
      <c r="A15" s="2">
        <v>43942</v>
      </c>
      <c r="B15" s="6">
        <v>31.49</v>
      </c>
      <c r="C15" s="6">
        <v>38.44</v>
      </c>
      <c r="D15" s="6">
        <v>51.1</v>
      </c>
      <c r="E15" s="6">
        <f>E14</f>
        <v>51.7</v>
      </c>
      <c r="F15" s="6">
        <v>48.89</v>
      </c>
    </row>
    <row r="16" spans="1:6" x14ac:dyDescent="0.3">
      <c r="A16" s="3">
        <v>43943</v>
      </c>
      <c r="B16" s="7">
        <v>31.49</v>
      </c>
      <c r="C16" s="7">
        <v>38.44</v>
      </c>
      <c r="D16" s="7">
        <v>51.1</v>
      </c>
      <c r="E16" s="7">
        <f>E15</f>
        <v>51.7</v>
      </c>
      <c r="F16" s="7">
        <v>48.89</v>
      </c>
    </row>
    <row r="17" spans="1:6" x14ac:dyDescent="0.3">
      <c r="A17" s="2">
        <v>43944</v>
      </c>
      <c r="B17" s="6">
        <v>31.49</v>
      </c>
      <c r="C17" s="6">
        <v>38.44</v>
      </c>
      <c r="D17" s="6">
        <v>51.1</v>
      </c>
      <c r="E17" s="6">
        <f>E16</f>
        <v>51.7</v>
      </c>
      <c r="F17" s="6">
        <v>48.89</v>
      </c>
    </row>
    <row r="18" spans="1:6" x14ac:dyDescent="0.3">
      <c r="A18" s="3">
        <v>43945</v>
      </c>
      <c r="B18" s="7">
        <v>26.75</v>
      </c>
      <c r="C18" s="7">
        <v>34.56</v>
      </c>
      <c r="D18" s="7">
        <v>44.69</v>
      </c>
      <c r="E18" s="7">
        <f>_xlfn.XLOOKUP(A18,'[1]Price History'!$A$3:$A$946,'[1]Price History'!$K$3:$K$946)</f>
        <v>44.53</v>
      </c>
      <c r="F18" s="7">
        <v>41.81</v>
      </c>
    </row>
    <row r="19" spans="1:6" x14ac:dyDescent="0.3">
      <c r="A19" s="2">
        <v>43948</v>
      </c>
      <c r="B19" s="6">
        <v>26.75</v>
      </c>
      <c r="C19" s="6">
        <v>34.56</v>
      </c>
      <c r="D19" s="6">
        <v>44.69</v>
      </c>
      <c r="E19" s="6">
        <f>E18</f>
        <v>44.53</v>
      </c>
      <c r="F19" s="6">
        <v>41.81</v>
      </c>
    </row>
    <row r="20" spans="1:6" x14ac:dyDescent="0.3">
      <c r="A20" s="3">
        <v>43949</v>
      </c>
      <c r="B20" s="7">
        <v>26.75</v>
      </c>
      <c r="C20" s="7">
        <v>34.56</v>
      </c>
      <c r="D20" s="7">
        <v>44.69</v>
      </c>
      <c r="E20" s="7">
        <f>E19</f>
        <v>44.53</v>
      </c>
      <c r="F20" s="7">
        <v>41.81</v>
      </c>
    </row>
    <row r="21" spans="1:6" x14ac:dyDescent="0.3">
      <c r="A21" s="2">
        <v>43950</v>
      </c>
      <c r="B21" s="6">
        <v>26.75</v>
      </c>
      <c r="C21" s="6">
        <v>34.56</v>
      </c>
      <c r="D21" s="6">
        <v>44.69</v>
      </c>
      <c r="E21" s="6">
        <f>E20</f>
        <v>44.53</v>
      </c>
      <c r="F21" s="6">
        <v>41.81</v>
      </c>
    </row>
    <row r="22" spans="1:6" x14ac:dyDescent="0.3">
      <c r="A22" s="3">
        <v>43951</v>
      </c>
      <c r="B22" s="7">
        <v>26.75</v>
      </c>
      <c r="C22" s="7">
        <v>34.56</v>
      </c>
      <c r="D22" s="7">
        <v>44.69</v>
      </c>
      <c r="E22" s="7">
        <f>E21</f>
        <v>44.53</v>
      </c>
      <c r="F22" s="7">
        <v>41.81</v>
      </c>
    </row>
    <row r="23" spans="1:6" x14ac:dyDescent="0.3">
      <c r="A23" s="2">
        <v>43952</v>
      </c>
      <c r="B23" s="6">
        <v>30</v>
      </c>
      <c r="C23" s="6">
        <v>37.97</v>
      </c>
      <c r="D23" s="6">
        <v>47.89</v>
      </c>
      <c r="E23" s="6">
        <f>_xlfn.XLOOKUP(A23,'[1]Price History'!$A$3:$A$946,'[1]Price History'!$K$3:$K$946)</f>
        <v>49.47</v>
      </c>
      <c r="F23" s="6">
        <v>42.99</v>
      </c>
    </row>
    <row r="24" spans="1:6" x14ac:dyDescent="0.3">
      <c r="A24" s="3">
        <v>43955</v>
      </c>
      <c r="B24" s="7">
        <v>30</v>
      </c>
      <c r="C24" s="7">
        <v>37.97</v>
      </c>
      <c r="D24" s="7">
        <v>47.89</v>
      </c>
      <c r="E24" s="7">
        <f>E23</f>
        <v>49.47</v>
      </c>
      <c r="F24" s="7">
        <v>42.99</v>
      </c>
    </row>
    <row r="25" spans="1:6" x14ac:dyDescent="0.3">
      <c r="A25" s="2">
        <v>43956</v>
      </c>
      <c r="B25" s="6">
        <v>30</v>
      </c>
      <c r="C25" s="6">
        <v>37.97</v>
      </c>
      <c r="D25" s="6">
        <v>47.89</v>
      </c>
      <c r="E25" s="6">
        <f>E24</f>
        <v>49.47</v>
      </c>
      <c r="F25" s="6">
        <v>42.99</v>
      </c>
    </row>
    <row r="26" spans="1:6" x14ac:dyDescent="0.3">
      <c r="A26" s="3">
        <v>43957</v>
      </c>
      <c r="B26" s="7">
        <v>30</v>
      </c>
      <c r="C26" s="7">
        <v>37.97</v>
      </c>
      <c r="D26" s="7">
        <v>47.89</v>
      </c>
      <c r="E26" s="7">
        <f>E25</f>
        <v>49.47</v>
      </c>
      <c r="F26" s="7">
        <v>42.99</v>
      </c>
    </row>
    <row r="27" spans="1:6" x14ac:dyDescent="0.3">
      <c r="A27" s="2">
        <v>43958</v>
      </c>
      <c r="B27" s="6">
        <v>31.61</v>
      </c>
      <c r="C27" s="6">
        <v>40.68</v>
      </c>
      <c r="D27" s="6">
        <v>50.66</v>
      </c>
      <c r="E27" s="6">
        <f>_xlfn.XLOOKUP(A27,'[1]Price History'!$A$3:$A$946,'[1]Price History'!$K$3:$K$946)</f>
        <v>51.91</v>
      </c>
      <c r="F27" s="6">
        <v>45.77</v>
      </c>
    </row>
    <row r="28" spans="1:6" x14ac:dyDescent="0.3">
      <c r="A28" s="3">
        <v>43959</v>
      </c>
      <c r="B28" s="7"/>
      <c r="C28" s="7"/>
      <c r="D28" s="7"/>
      <c r="E28" s="7">
        <f>E27</f>
        <v>51.91</v>
      </c>
      <c r="F28" s="7"/>
    </row>
    <row r="29" spans="1:6" x14ac:dyDescent="0.3">
      <c r="A29" s="2">
        <v>43962</v>
      </c>
      <c r="B29" s="6">
        <v>31.61</v>
      </c>
      <c r="C29" s="6">
        <v>40.68</v>
      </c>
      <c r="D29" s="6">
        <v>50.66</v>
      </c>
      <c r="E29" s="6">
        <f>E28</f>
        <v>51.91</v>
      </c>
      <c r="F29" s="6">
        <v>45.77</v>
      </c>
    </row>
    <row r="30" spans="1:6" x14ac:dyDescent="0.3">
      <c r="A30" s="3">
        <v>43963</v>
      </c>
      <c r="B30" s="7">
        <v>31.61</v>
      </c>
      <c r="C30" s="7">
        <v>40.68</v>
      </c>
      <c r="D30" s="7">
        <v>50.66</v>
      </c>
      <c r="E30" s="7">
        <f>E29</f>
        <v>51.91</v>
      </c>
      <c r="F30" s="7">
        <v>45.77</v>
      </c>
    </row>
    <row r="31" spans="1:6" x14ac:dyDescent="0.3">
      <c r="A31" s="2">
        <v>43964</v>
      </c>
      <c r="B31" s="6">
        <v>31.61</v>
      </c>
      <c r="C31" s="6">
        <v>40.68</v>
      </c>
      <c r="D31" s="6">
        <v>50.66</v>
      </c>
      <c r="E31" s="6">
        <f>E30</f>
        <v>51.91</v>
      </c>
      <c r="F31" s="6">
        <v>45.77</v>
      </c>
    </row>
    <row r="32" spans="1:6" x14ac:dyDescent="0.3">
      <c r="A32" s="3">
        <v>43965</v>
      </c>
      <c r="B32" s="7">
        <v>31.61</v>
      </c>
      <c r="C32" s="7">
        <v>40.68</v>
      </c>
      <c r="D32" s="7">
        <v>50.66</v>
      </c>
      <c r="E32" s="7">
        <f>E31</f>
        <v>51.91</v>
      </c>
      <c r="F32" s="7">
        <v>45.77</v>
      </c>
    </row>
    <row r="33" spans="1:6" x14ac:dyDescent="0.3">
      <c r="A33" s="2">
        <v>43966</v>
      </c>
      <c r="B33" s="6">
        <v>32.979999999999997</v>
      </c>
      <c r="C33" s="6">
        <v>42.39</v>
      </c>
      <c r="D33" s="6">
        <v>52.37</v>
      </c>
      <c r="E33" s="6">
        <f>_xlfn.XLOOKUP(A33,'[1]Price History'!$A$3:$A$946,'[1]Price History'!$K$3:$K$946)</f>
        <v>53.17</v>
      </c>
      <c r="F33" s="6">
        <v>48.75</v>
      </c>
    </row>
    <row r="34" spans="1:6" x14ac:dyDescent="0.3">
      <c r="A34" s="3">
        <v>43969</v>
      </c>
      <c r="B34" s="7">
        <v>32.979999999999997</v>
      </c>
      <c r="C34" s="7">
        <v>42.39</v>
      </c>
      <c r="D34" s="7">
        <v>52.37</v>
      </c>
      <c r="E34" s="7">
        <f>E33</f>
        <v>53.17</v>
      </c>
      <c r="F34" s="7">
        <v>48.75</v>
      </c>
    </row>
    <row r="35" spans="1:6" x14ac:dyDescent="0.3">
      <c r="A35" s="2">
        <v>43970</v>
      </c>
      <c r="B35" s="6">
        <v>32.979999999999997</v>
      </c>
      <c r="C35" s="6">
        <v>42.39</v>
      </c>
      <c r="D35" s="6">
        <v>52.37</v>
      </c>
      <c r="E35" s="6">
        <f>E34</f>
        <v>53.17</v>
      </c>
      <c r="F35" s="6">
        <v>48.75</v>
      </c>
    </row>
    <row r="36" spans="1:6" x14ac:dyDescent="0.3">
      <c r="A36" s="3">
        <v>43971</v>
      </c>
      <c r="B36" s="7">
        <v>32.979999999999997</v>
      </c>
      <c r="C36" s="7">
        <v>42.39</v>
      </c>
      <c r="D36" s="7">
        <v>52.37</v>
      </c>
      <c r="E36" s="7">
        <f>E35</f>
        <v>53.17</v>
      </c>
      <c r="F36" s="7">
        <v>48.75</v>
      </c>
    </row>
    <row r="37" spans="1:6" x14ac:dyDescent="0.3">
      <c r="A37" s="2">
        <v>43972</v>
      </c>
      <c r="B37" s="6">
        <v>32.979999999999997</v>
      </c>
      <c r="C37" s="6">
        <v>42.39</v>
      </c>
      <c r="D37" s="6">
        <v>52.37</v>
      </c>
      <c r="E37" s="6">
        <f>E36</f>
        <v>53.17</v>
      </c>
      <c r="F37" s="6">
        <v>48.75</v>
      </c>
    </row>
    <row r="38" spans="1:6" x14ac:dyDescent="0.3">
      <c r="A38" s="3">
        <v>43973</v>
      </c>
      <c r="B38" s="7">
        <v>33.86</v>
      </c>
      <c r="C38" s="7">
        <v>42.98</v>
      </c>
      <c r="D38" s="7">
        <v>52.33</v>
      </c>
      <c r="E38" s="7">
        <f>_xlfn.XLOOKUP(A38,'[1]Price History'!$A$3:$A$946,'[1]Price History'!$K$3:$K$946)</f>
        <v>54.93</v>
      </c>
      <c r="F38" s="7">
        <v>50.16</v>
      </c>
    </row>
    <row r="39" spans="1:6" x14ac:dyDescent="0.3">
      <c r="A39" s="2">
        <v>43977</v>
      </c>
      <c r="B39" s="6">
        <v>33.86</v>
      </c>
      <c r="C39" s="6">
        <v>42.98</v>
      </c>
      <c r="D39" s="6">
        <v>52.33</v>
      </c>
      <c r="E39" s="6">
        <f>E38</f>
        <v>54.93</v>
      </c>
      <c r="F39" s="6">
        <v>50.16</v>
      </c>
    </row>
    <row r="40" spans="1:6" x14ac:dyDescent="0.3">
      <c r="A40" s="3">
        <v>43978</v>
      </c>
      <c r="B40" s="7">
        <v>33.86</v>
      </c>
      <c r="C40" s="7">
        <v>42.98</v>
      </c>
      <c r="D40" s="7">
        <v>52.33</v>
      </c>
      <c r="E40" s="7">
        <f>E39</f>
        <v>54.93</v>
      </c>
      <c r="F40" s="7">
        <v>50.16</v>
      </c>
    </row>
    <row r="41" spans="1:6" x14ac:dyDescent="0.3">
      <c r="A41" s="2">
        <v>43979</v>
      </c>
      <c r="B41" s="6">
        <v>33.86</v>
      </c>
      <c r="C41" s="6">
        <v>42.98</v>
      </c>
      <c r="D41" s="6">
        <v>52.33</v>
      </c>
      <c r="E41" s="6">
        <f>E40</f>
        <v>54.93</v>
      </c>
      <c r="F41" s="6">
        <v>50.16</v>
      </c>
    </row>
    <row r="42" spans="1:6" x14ac:dyDescent="0.3">
      <c r="A42" s="3">
        <v>43980</v>
      </c>
      <c r="B42" s="7">
        <v>34.53</v>
      </c>
      <c r="C42" s="7">
        <v>43.62</v>
      </c>
      <c r="D42" s="7">
        <v>53.26</v>
      </c>
      <c r="E42" s="7">
        <f>_xlfn.XLOOKUP(A42,'[1]Price History'!$A$3:$A$946,'[1]Price History'!$K$3:$K$946)</f>
        <v>55.27</v>
      </c>
      <c r="F42" s="7">
        <v>50.96</v>
      </c>
    </row>
    <row r="43" spans="1:6" x14ac:dyDescent="0.3">
      <c r="A43" s="2">
        <v>43983</v>
      </c>
      <c r="B43" s="6">
        <v>34.53</v>
      </c>
      <c r="C43" s="6">
        <v>43.62</v>
      </c>
      <c r="D43" s="6">
        <v>53.26</v>
      </c>
      <c r="E43" s="6">
        <f>E42</f>
        <v>55.27</v>
      </c>
      <c r="F43" s="6">
        <v>50.96</v>
      </c>
    </row>
    <row r="44" spans="1:6" x14ac:dyDescent="0.3">
      <c r="A44" s="3">
        <v>43984</v>
      </c>
      <c r="B44" s="7">
        <v>34.53</v>
      </c>
      <c r="C44" s="7">
        <v>43.62</v>
      </c>
      <c r="D44" s="7">
        <v>53.26</v>
      </c>
      <c r="E44" s="7">
        <f>E43</f>
        <v>55.27</v>
      </c>
      <c r="F44" s="7">
        <v>50.96</v>
      </c>
    </row>
    <row r="45" spans="1:6" x14ac:dyDescent="0.3">
      <c r="A45" s="2">
        <v>43985</v>
      </c>
      <c r="B45" s="6">
        <v>34.53</v>
      </c>
      <c r="C45" s="6">
        <v>43.62</v>
      </c>
      <c r="D45" s="6">
        <v>53.26</v>
      </c>
      <c r="E45" s="6">
        <f>E44</f>
        <v>55.27</v>
      </c>
      <c r="F45" s="6">
        <v>50.96</v>
      </c>
    </row>
    <row r="46" spans="1:6" x14ac:dyDescent="0.3">
      <c r="A46" s="3">
        <v>43986</v>
      </c>
      <c r="B46" s="7">
        <v>34.53</v>
      </c>
      <c r="C46" s="7">
        <v>43.62</v>
      </c>
      <c r="D46" s="7">
        <v>53.26</v>
      </c>
      <c r="E46" s="7">
        <f>E45</f>
        <v>55.27</v>
      </c>
      <c r="F46" s="7">
        <v>50.96</v>
      </c>
    </row>
    <row r="47" spans="1:6" x14ac:dyDescent="0.3">
      <c r="A47" s="2">
        <v>43987</v>
      </c>
      <c r="B47" s="6">
        <v>36.700000000000003</v>
      </c>
      <c r="C47" s="6">
        <v>45.35</v>
      </c>
      <c r="D47" s="6">
        <v>55.02</v>
      </c>
      <c r="E47" s="6">
        <f>_xlfn.XLOOKUP(A47,'[1]Price History'!$A$3:$A$946,'[1]Price History'!$K$3:$K$946)</f>
        <v>59.32</v>
      </c>
      <c r="F47" s="6">
        <v>53.47</v>
      </c>
    </row>
    <row r="48" spans="1:6" x14ac:dyDescent="0.3">
      <c r="A48" s="3">
        <v>43990</v>
      </c>
      <c r="B48" s="7">
        <v>36.700000000000003</v>
      </c>
      <c r="C48" s="7">
        <v>45.35</v>
      </c>
      <c r="D48" s="7">
        <v>55.02</v>
      </c>
      <c r="E48" s="7">
        <f>E47</f>
        <v>59.32</v>
      </c>
      <c r="F48" s="7">
        <v>53.47</v>
      </c>
    </row>
    <row r="49" spans="1:6" x14ac:dyDescent="0.3">
      <c r="A49" s="2">
        <v>43991</v>
      </c>
      <c r="B49" s="6">
        <v>36.700000000000003</v>
      </c>
      <c r="C49" s="6">
        <v>45.35</v>
      </c>
      <c r="D49" s="6">
        <v>55.02</v>
      </c>
      <c r="E49" s="6">
        <f>E48</f>
        <v>59.32</v>
      </c>
      <c r="F49" s="6">
        <v>53.47</v>
      </c>
    </row>
    <row r="50" spans="1:6" x14ac:dyDescent="0.3">
      <c r="A50" s="3">
        <v>43992</v>
      </c>
      <c r="B50" s="7">
        <v>36.700000000000003</v>
      </c>
      <c r="C50" s="7">
        <v>45.35</v>
      </c>
      <c r="D50" s="7">
        <v>55.02</v>
      </c>
      <c r="E50" s="7">
        <f>E49</f>
        <v>59.32</v>
      </c>
      <c r="F50" s="7">
        <v>53.47</v>
      </c>
    </row>
    <row r="51" spans="1:6" x14ac:dyDescent="0.3">
      <c r="A51" s="2">
        <v>43993</v>
      </c>
      <c r="B51" s="6">
        <v>36.700000000000003</v>
      </c>
      <c r="C51" s="6">
        <v>45.35</v>
      </c>
      <c r="D51" s="6">
        <v>55.02</v>
      </c>
      <c r="E51" s="6">
        <f>E50</f>
        <v>59.32</v>
      </c>
      <c r="F51" s="6">
        <v>53.47</v>
      </c>
    </row>
    <row r="52" spans="1:6" x14ac:dyDescent="0.3">
      <c r="A52" s="3">
        <v>43994</v>
      </c>
      <c r="B52" s="7">
        <v>34.1</v>
      </c>
      <c r="C52" s="7">
        <v>42</v>
      </c>
      <c r="D52" s="7">
        <v>51.58</v>
      </c>
      <c r="E52" s="7">
        <f>_xlfn.XLOOKUP(A52,'[1]Price History'!$A$3:$A$946,'[1]Price History'!$K$3:$K$946)</f>
        <v>55.34</v>
      </c>
      <c r="F52" s="7">
        <v>50.81</v>
      </c>
    </row>
    <row r="53" spans="1:6" x14ac:dyDescent="0.3">
      <c r="A53" s="2">
        <v>43997</v>
      </c>
      <c r="B53" s="6">
        <v>34.1</v>
      </c>
      <c r="C53" s="6">
        <v>42</v>
      </c>
      <c r="D53" s="6">
        <v>51.58</v>
      </c>
      <c r="E53" s="6">
        <f>E52</f>
        <v>55.34</v>
      </c>
      <c r="F53" s="6">
        <v>50.81</v>
      </c>
    </row>
    <row r="54" spans="1:6" x14ac:dyDescent="0.3">
      <c r="A54" s="3">
        <v>43998</v>
      </c>
      <c r="B54" s="7">
        <v>34.1</v>
      </c>
      <c r="C54" s="7">
        <v>42</v>
      </c>
      <c r="D54" s="7">
        <v>51.58</v>
      </c>
      <c r="E54" s="7">
        <f>E53</f>
        <v>55.34</v>
      </c>
      <c r="F54" s="7">
        <v>50.81</v>
      </c>
    </row>
    <row r="55" spans="1:6" x14ac:dyDescent="0.3">
      <c r="A55" s="2">
        <v>43999</v>
      </c>
      <c r="B55" s="6">
        <v>34.1</v>
      </c>
      <c r="C55" s="6">
        <v>42</v>
      </c>
      <c r="D55" s="6">
        <v>51.58</v>
      </c>
      <c r="E55" s="6">
        <f>E54</f>
        <v>55.34</v>
      </c>
      <c r="F55" s="6">
        <v>50.81</v>
      </c>
    </row>
    <row r="56" spans="1:6" x14ac:dyDescent="0.3">
      <c r="A56" s="3">
        <v>44000</v>
      </c>
      <c r="B56" s="7">
        <v>34.1</v>
      </c>
      <c r="C56" s="7">
        <v>42</v>
      </c>
      <c r="D56" s="7">
        <v>51.58</v>
      </c>
      <c r="E56" s="7">
        <f>E55</f>
        <v>55.34</v>
      </c>
      <c r="F56" s="7">
        <v>50.81</v>
      </c>
    </row>
    <row r="57" spans="1:6" x14ac:dyDescent="0.3">
      <c r="A57" s="2">
        <v>44001</v>
      </c>
      <c r="B57" s="6">
        <v>32.909999999999997</v>
      </c>
      <c r="C57" s="6">
        <v>40.96</v>
      </c>
      <c r="D57" s="6">
        <v>50.86</v>
      </c>
      <c r="E57" s="6">
        <f>_xlfn.XLOOKUP(A57,'[1]Price History'!$A$3:$A$946,'[1]Price History'!$K$3:$K$946)</f>
        <v>54.15</v>
      </c>
      <c r="F57" s="6">
        <v>51.71</v>
      </c>
    </row>
    <row r="58" spans="1:6" x14ac:dyDescent="0.3">
      <c r="A58" s="3">
        <v>44004</v>
      </c>
      <c r="B58" s="7">
        <v>32.909999999999997</v>
      </c>
      <c r="C58" s="7">
        <v>40.96</v>
      </c>
      <c r="D58" s="7">
        <v>50.86</v>
      </c>
      <c r="E58" s="7">
        <f>E57</f>
        <v>54.15</v>
      </c>
      <c r="F58" s="7">
        <v>51.71</v>
      </c>
    </row>
    <row r="59" spans="1:6" x14ac:dyDescent="0.3">
      <c r="A59" s="2">
        <v>44005</v>
      </c>
      <c r="B59" s="6">
        <v>32.909999999999997</v>
      </c>
      <c r="C59" s="6">
        <v>40.96</v>
      </c>
      <c r="D59" s="6">
        <v>50.86</v>
      </c>
      <c r="E59" s="6">
        <f>E58</f>
        <v>54.15</v>
      </c>
      <c r="F59" s="6">
        <v>51.71</v>
      </c>
    </row>
    <row r="60" spans="1:6" x14ac:dyDescent="0.3">
      <c r="A60" s="3">
        <v>44006</v>
      </c>
      <c r="B60" s="7">
        <v>32.909999999999997</v>
      </c>
      <c r="C60" s="7">
        <v>40.96</v>
      </c>
      <c r="D60" s="7">
        <v>50.86</v>
      </c>
      <c r="E60" s="7">
        <f>E59</f>
        <v>54.15</v>
      </c>
      <c r="F60" s="7">
        <v>51.71</v>
      </c>
    </row>
    <row r="61" spans="1:6" x14ac:dyDescent="0.3">
      <c r="A61" s="2">
        <v>44007</v>
      </c>
      <c r="B61" s="6">
        <v>32.909999999999997</v>
      </c>
      <c r="C61" s="6">
        <v>40.96</v>
      </c>
      <c r="D61" s="6">
        <v>50.86</v>
      </c>
      <c r="E61" s="6">
        <f>E60</f>
        <v>54.15</v>
      </c>
      <c r="F61" s="6">
        <v>51.71</v>
      </c>
    </row>
    <row r="62" spans="1:6" x14ac:dyDescent="0.3">
      <c r="A62" s="3">
        <v>44008</v>
      </c>
      <c r="B62" s="7">
        <v>32.54</v>
      </c>
      <c r="C62" s="7">
        <v>40.299999999999997</v>
      </c>
      <c r="D62" s="7">
        <v>48.43</v>
      </c>
      <c r="E62" s="7">
        <f>_xlfn.XLOOKUP(A62,'[1]Price History'!$A$3:$A$946,'[1]Price History'!$K$3:$K$946)</f>
        <v>50.05</v>
      </c>
      <c r="F62" s="7">
        <v>51.45</v>
      </c>
    </row>
    <row r="63" spans="1:6" x14ac:dyDescent="0.3">
      <c r="A63" s="2">
        <v>44011</v>
      </c>
      <c r="B63" s="6">
        <v>32.54</v>
      </c>
      <c r="C63" s="6">
        <v>40.299999999999997</v>
      </c>
      <c r="D63" s="6">
        <v>48.43</v>
      </c>
      <c r="E63" s="6">
        <f>E62</f>
        <v>50.05</v>
      </c>
      <c r="F63" s="6">
        <v>51.45</v>
      </c>
    </row>
    <row r="64" spans="1:6" x14ac:dyDescent="0.3">
      <c r="A64" s="3">
        <v>44012</v>
      </c>
      <c r="B64" s="7">
        <v>32.54</v>
      </c>
      <c r="C64" s="7">
        <v>40.299999999999997</v>
      </c>
      <c r="D64" s="7">
        <v>48.43</v>
      </c>
      <c r="E64" s="7">
        <f>E63</f>
        <v>50.05</v>
      </c>
      <c r="F64" s="7">
        <v>51.45</v>
      </c>
    </row>
    <row r="65" spans="1:6" x14ac:dyDescent="0.3">
      <c r="A65" s="2">
        <v>44013</v>
      </c>
      <c r="B65" s="6">
        <v>32.54</v>
      </c>
      <c r="C65" s="6">
        <v>40.299999999999997</v>
      </c>
      <c r="D65" s="6">
        <v>48.43</v>
      </c>
      <c r="E65" s="6">
        <f>E64</f>
        <v>50.05</v>
      </c>
      <c r="F65" s="6">
        <v>51.45</v>
      </c>
    </row>
    <row r="66" spans="1:6" x14ac:dyDescent="0.3">
      <c r="A66" s="3">
        <v>44014</v>
      </c>
      <c r="B66" s="7">
        <v>32.54</v>
      </c>
      <c r="C66" s="7">
        <v>40.299999999999997</v>
      </c>
      <c r="D66" s="7">
        <v>48.43</v>
      </c>
      <c r="E66" s="7">
        <f>E65</f>
        <v>50.05</v>
      </c>
      <c r="F66" s="7">
        <v>51.45</v>
      </c>
    </row>
    <row r="67" spans="1:6" x14ac:dyDescent="0.3">
      <c r="A67" s="2">
        <v>44015</v>
      </c>
      <c r="B67" s="6">
        <v>32.61</v>
      </c>
      <c r="C67" s="6">
        <v>40.200000000000003</v>
      </c>
      <c r="D67" s="6">
        <v>49.91</v>
      </c>
      <c r="E67" s="6">
        <f>_xlfn.XLOOKUP(A67,'[1]Price History'!$A$3:$A$946,'[1]Price History'!$K$3:$K$946)</f>
        <v>53.15</v>
      </c>
      <c r="F67" s="6">
        <v>49.92</v>
      </c>
    </row>
    <row r="68" spans="1:6" x14ac:dyDescent="0.3">
      <c r="A68" s="3">
        <v>44018</v>
      </c>
      <c r="B68" s="7">
        <v>32.61</v>
      </c>
      <c r="C68" s="7">
        <v>40.200000000000003</v>
      </c>
      <c r="D68" s="7">
        <v>49.91</v>
      </c>
      <c r="E68" s="7">
        <f>E67</f>
        <v>53.15</v>
      </c>
      <c r="F68" s="7">
        <v>49.92</v>
      </c>
    </row>
    <row r="69" spans="1:6" x14ac:dyDescent="0.3">
      <c r="A69" s="2">
        <v>44019</v>
      </c>
      <c r="B69" s="6">
        <v>32.61</v>
      </c>
      <c r="C69" s="6">
        <v>40.200000000000003</v>
      </c>
      <c r="D69" s="6">
        <v>49.91</v>
      </c>
      <c r="E69" s="6">
        <f>E68</f>
        <v>53.15</v>
      </c>
      <c r="F69" s="6">
        <v>49.92</v>
      </c>
    </row>
    <row r="70" spans="1:6" x14ac:dyDescent="0.3">
      <c r="A70" s="3">
        <v>44020</v>
      </c>
      <c r="B70" s="7">
        <v>32.61</v>
      </c>
      <c r="C70" s="7">
        <v>40.200000000000003</v>
      </c>
      <c r="D70" s="7">
        <v>49.91</v>
      </c>
      <c r="E70" s="7">
        <f>E69</f>
        <v>53.15</v>
      </c>
      <c r="F70" s="7">
        <v>49.92</v>
      </c>
    </row>
    <row r="71" spans="1:6" x14ac:dyDescent="0.3">
      <c r="A71" s="2">
        <v>44021</v>
      </c>
      <c r="B71" s="6">
        <v>32.61</v>
      </c>
      <c r="C71" s="6">
        <v>40.200000000000003</v>
      </c>
      <c r="D71" s="6">
        <v>49.91</v>
      </c>
      <c r="E71" s="6">
        <f>E70</f>
        <v>53.15</v>
      </c>
      <c r="F71" s="6">
        <v>49.92</v>
      </c>
    </row>
    <row r="72" spans="1:6" x14ac:dyDescent="0.3">
      <c r="A72" s="3">
        <v>44022</v>
      </c>
      <c r="B72" s="7">
        <v>33.5</v>
      </c>
      <c r="C72" s="7">
        <v>40.83</v>
      </c>
      <c r="D72" s="7">
        <v>50.12</v>
      </c>
      <c r="E72" s="7">
        <f>_xlfn.XLOOKUP(A72,'[1]Price History'!$A$3:$A$946,'[1]Price History'!$K$3:$K$946)</f>
        <v>53.56</v>
      </c>
      <c r="F72" s="7">
        <v>51.16</v>
      </c>
    </row>
    <row r="73" spans="1:6" x14ac:dyDescent="0.3">
      <c r="A73" s="2">
        <v>44025</v>
      </c>
      <c r="B73" s="6">
        <v>33.5</v>
      </c>
      <c r="C73" s="6">
        <v>40.83</v>
      </c>
      <c r="D73" s="6">
        <v>50.12</v>
      </c>
      <c r="E73" s="6">
        <f>E72</f>
        <v>53.56</v>
      </c>
      <c r="F73" s="6">
        <v>51.16</v>
      </c>
    </row>
    <row r="74" spans="1:6" x14ac:dyDescent="0.3">
      <c r="A74" s="3">
        <v>44026</v>
      </c>
      <c r="B74" s="7">
        <v>33.5</v>
      </c>
      <c r="C74" s="7">
        <v>40.83</v>
      </c>
      <c r="D74" s="7">
        <v>50.12</v>
      </c>
      <c r="E74" s="7">
        <f>E73</f>
        <v>53.56</v>
      </c>
      <c r="F74" s="7">
        <v>51.16</v>
      </c>
    </row>
    <row r="75" spans="1:6" x14ac:dyDescent="0.3">
      <c r="A75" s="2">
        <v>44027</v>
      </c>
      <c r="B75" s="6">
        <v>33.5</v>
      </c>
      <c r="C75" s="6">
        <v>40.83</v>
      </c>
      <c r="D75" s="6">
        <v>50.12</v>
      </c>
      <c r="E75" s="6">
        <f>E74</f>
        <v>53.56</v>
      </c>
      <c r="F75" s="6">
        <v>51.16</v>
      </c>
    </row>
    <row r="76" spans="1:6" x14ac:dyDescent="0.3">
      <c r="A76" s="3">
        <v>44028</v>
      </c>
      <c r="B76" s="7">
        <v>33.5</v>
      </c>
      <c r="C76" s="7">
        <v>40.83</v>
      </c>
      <c r="D76" s="7">
        <v>50.12</v>
      </c>
      <c r="E76" s="7">
        <f>E75</f>
        <v>53.56</v>
      </c>
      <c r="F76" s="7">
        <v>51.16</v>
      </c>
    </row>
    <row r="77" spans="1:6" x14ac:dyDescent="0.3">
      <c r="A77" s="2">
        <v>44029</v>
      </c>
      <c r="B77" s="6">
        <v>33.01</v>
      </c>
      <c r="C77" s="6">
        <v>40.43</v>
      </c>
      <c r="D77" s="6">
        <v>49.88</v>
      </c>
      <c r="E77" s="6">
        <f>_xlfn.XLOOKUP(A77,'[1]Price History'!$A$3:$A$946,'[1]Price History'!$K$3:$K$946)</f>
        <v>54.84</v>
      </c>
      <c r="F77" s="6">
        <v>51.88</v>
      </c>
    </row>
    <row r="78" spans="1:6" x14ac:dyDescent="0.3">
      <c r="A78" s="3">
        <v>44032</v>
      </c>
      <c r="B78" s="7">
        <v>33.01</v>
      </c>
      <c r="C78" s="7">
        <v>40.43</v>
      </c>
      <c r="D78" s="7">
        <v>49.88</v>
      </c>
      <c r="E78" s="7">
        <f>E77</f>
        <v>54.84</v>
      </c>
      <c r="F78" s="7">
        <v>51.88</v>
      </c>
    </row>
    <row r="79" spans="1:6" x14ac:dyDescent="0.3">
      <c r="A79" s="2">
        <v>44033</v>
      </c>
      <c r="B79" s="6">
        <v>33.01</v>
      </c>
      <c r="C79" s="6">
        <v>40.43</v>
      </c>
      <c r="D79" s="6">
        <v>49.88</v>
      </c>
      <c r="E79" s="6">
        <f>E78</f>
        <v>54.84</v>
      </c>
      <c r="F79" s="6">
        <v>51.88</v>
      </c>
    </row>
    <row r="80" spans="1:6" x14ac:dyDescent="0.3">
      <c r="A80" s="3">
        <v>44034</v>
      </c>
      <c r="B80" s="7">
        <v>33.01</v>
      </c>
      <c r="C80" s="7">
        <v>40.43</v>
      </c>
      <c r="D80" s="7">
        <v>49.88</v>
      </c>
      <c r="E80" s="7">
        <f>E79</f>
        <v>54.84</v>
      </c>
      <c r="F80" s="7">
        <v>51.88</v>
      </c>
    </row>
    <row r="81" spans="1:6" x14ac:dyDescent="0.3">
      <c r="A81" s="2">
        <v>44035</v>
      </c>
      <c r="B81" s="6">
        <v>33.01</v>
      </c>
      <c r="C81" s="6">
        <v>40.43</v>
      </c>
      <c r="D81" s="6">
        <v>49.88</v>
      </c>
      <c r="E81" s="6">
        <f>E80</f>
        <v>54.84</v>
      </c>
      <c r="F81" s="6">
        <v>51.88</v>
      </c>
    </row>
    <row r="82" spans="1:6" x14ac:dyDescent="0.3">
      <c r="A82" s="3">
        <v>44036</v>
      </c>
      <c r="B82" s="7">
        <v>32.56</v>
      </c>
      <c r="C82" s="7">
        <v>40.01</v>
      </c>
      <c r="D82" s="7">
        <v>49.17</v>
      </c>
      <c r="E82" s="7">
        <f>_xlfn.XLOOKUP(A82,'[1]Price History'!$A$3:$A$946,'[1]Price History'!$K$3:$K$946)</f>
        <v>53.33</v>
      </c>
      <c r="F82" s="7">
        <v>50.61</v>
      </c>
    </row>
    <row r="83" spans="1:6" x14ac:dyDescent="0.3">
      <c r="A83" s="2">
        <v>44039</v>
      </c>
      <c r="B83" s="6">
        <v>32.56</v>
      </c>
      <c r="C83" s="6">
        <v>40.01</v>
      </c>
      <c r="D83" s="6">
        <v>49.17</v>
      </c>
      <c r="E83" s="6">
        <f>E82</f>
        <v>53.33</v>
      </c>
      <c r="F83" s="6">
        <v>50.61</v>
      </c>
    </row>
    <row r="84" spans="1:6" x14ac:dyDescent="0.3">
      <c r="A84" s="3">
        <v>44040</v>
      </c>
      <c r="B84" s="7">
        <v>32.56</v>
      </c>
      <c r="C84" s="7">
        <v>40.01</v>
      </c>
      <c r="D84" s="7">
        <v>49.17</v>
      </c>
      <c r="E84" s="7">
        <f>E83</f>
        <v>53.33</v>
      </c>
      <c r="F84" s="7">
        <v>50.61</v>
      </c>
    </row>
    <row r="85" spans="1:6" x14ac:dyDescent="0.3">
      <c r="A85" s="2">
        <v>44041</v>
      </c>
      <c r="B85" s="6">
        <v>32.56</v>
      </c>
      <c r="C85" s="6">
        <v>40.01</v>
      </c>
      <c r="D85" s="6">
        <v>49.17</v>
      </c>
      <c r="E85" s="6">
        <f>E84</f>
        <v>53.33</v>
      </c>
      <c r="F85" s="6">
        <v>50.61</v>
      </c>
    </row>
    <row r="86" spans="1:6" x14ac:dyDescent="0.3">
      <c r="A86" s="3">
        <v>44042</v>
      </c>
      <c r="B86" s="7">
        <v>32.56</v>
      </c>
      <c r="C86" s="7">
        <v>40.01</v>
      </c>
      <c r="D86" s="7">
        <v>49.17</v>
      </c>
      <c r="E86" s="7">
        <f>E85</f>
        <v>53.33</v>
      </c>
      <c r="F86" s="7">
        <v>50.61</v>
      </c>
    </row>
    <row r="87" spans="1:6" x14ac:dyDescent="0.3">
      <c r="A87" s="2">
        <v>44043</v>
      </c>
      <c r="B87" s="6">
        <v>32.07</v>
      </c>
      <c r="C87" s="6">
        <v>39.97</v>
      </c>
      <c r="D87" s="6">
        <v>48.83</v>
      </c>
      <c r="E87" s="6">
        <f>_xlfn.XLOOKUP(A87,'[1]Price History'!$A$3:$A$946,'[1]Price History'!$K$3:$K$946)</f>
        <v>52.12</v>
      </c>
      <c r="F87" s="6">
        <v>49.7</v>
      </c>
    </row>
    <row r="88" spans="1:6" x14ac:dyDescent="0.3">
      <c r="A88" s="3">
        <v>44046</v>
      </c>
      <c r="B88" s="7">
        <v>32.07</v>
      </c>
      <c r="C88" s="7">
        <v>39.97</v>
      </c>
      <c r="D88" s="7">
        <v>48.83</v>
      </c>
      <c r="E88" s="7">
        <f>E87</f>
        <v>52.12</v>
      </c>
      <c r="F88" s="7">
        <v>49.7</v>
      </c>
    </row>
    <row r="89" spans="1:6" x14ac:dyDescent="0.3">
      <c r="A89" s="2">
        <v>44047</v>
      </c>
      <c r="B89" s="6">
        <v>32.07</v>
      </c>
      <c r="C89" s="6">
        <v>39.97</v>
      </c>
      <c r="D89" s="6">
        <v>48.83</v>
      </c>
      <c r="E89" s="6">
        <f>E88</f>
        <v>52.12</v>
      </c>
      <c r="F89" s="6">
        <v>49.7</v>
      </c>
    </row>
    <row r="90" spans="1:6" x14ac:dyDescent="0.3">
      <c r="A90" s="3">
        <v>44048</v>
      </c>
      <c r="B90" s="7">
        <v>32.07</v>
      </c>
      <c r="C90" s="7">
        <v>39.97</v>
      </c>
      <c r="D90" s="7">
        <v>48.83</v>
      </c>
      <c r="E90" s="7">
        <f>E89</f>
        <v>52.12</v>
      </c>
      <c r="F90" s="7">
        <v>49.7</v>
      </c>
    </row>
    <row r="91" spans="1:6" x14ac:dyDescent="0.3">
      <c r="A91" s="2">
        <v>44049</v>
      </c>
      <c r="B91" s="6">
        <v>32.07</v>
      </c>
      <c r="C91" s="6">
        <v>39.97</v>
      </c>
      <c r="D91" s="6">
        <v>48.83</v>
      </c>
      <c r="E91" s="6">
        <f>E90</f>
        <v>52.12</v>
      </c>
      <c r="F91" s="6">
        <v>49.7</v>
      </c>
    </row>
    <row r="92" spans="1:6" x14ac:dyDescent="0.3">
      <c r="A92" s="3">
        <v>44050</v>
      </c>
      <c r="B92" s="7">
        <v>33.21</v>
      </c>
      <c r="C92" s="7">
        <v>41.52</v>
      </c>
      <c r="D92" s="7">
        <v>50.12</v>
      </c>
      <c r="E92" s="7">
        <f>_xlfn.XLOOKUP(A92,'[1]Price History'!$A$3:$A$946,'[1]Price History'!$K$3:$K$946)</f>
        <v>54.02</v>
      </c>
      <c r="F92" s="7">
        <v>51.84</v>
      </c>
    </row>
    <row r="93" spans="1:6" x14ac:dyDescent="0.3">
      <c r="A93" s="2">
        <v>44053</v>
      </c>
      <c r="B93" s="6">
        <v>33.21</v>
      </c>
      <c r="C93" s="6">
        <v>41.52</v>
      </c>
      <c r="D93" s="6">
        <v>50.12</v>
      </c>
      <c r="E93" s="6">
        <f>E92</f>
        <v>54.02</v>
      </c>
      <c r="F93" s="6">
        <v>51.84</v>
      </c>
    </row>
    <row r="94" spans="1:6" x14ac:dyDescent="0.3">
      <c r="A94" s="3">
        <v>44054</v>
      </c>
      <c r="B94" s="7">
        <v>33.21</v>
      </c>
      <c r="C94" s="7">
        <v>41.52</v>
      </c>
      <c r="D94" s="7">
        <v>50.12</v>
      </c>
      <c r="E94" s="7">
        <f>E93</f>
        <v>54.02</v>
      </c>
      <c r="F94" s="7">
        <v>51.84</v>
      </c>
    </row>
    <row r="95" spans="1:6" x14ac:dyDescent="0.3">
      <c r="A95" s="2">
        <v>44055</v>
      </c>
      <c r="B95" s="6">
        <v>33.21</v>
      </c>
      <c r="C95" s="6">
        <v>41.52</v>
      </c>
      <c r="D95" s="6">
        <v>50.12</v>
      </c>
      <c r="E95" s="6">
        <f>E94</f>
        <v>54.02</v>
      </c>
      <c r="F95" s="6">
        <v>51.84</v>
      </c>
    </row>
    <row r="96" spans="1:6" x14ac:dyDescent="0.3">
      <c r="A96" s="3">
        <v>44056</v>
      </c>
      <c r="B96" s="7">
        <v>33.21</v>
      </c>
      <c r="C96" s="7">
        <v>41.52</v>
      </c>
      <c r="D96" s="7">
        <v>50.12</v>
      </c>
      <c r="E96" s="7">
        <f>E95</f>
        <v>54.02</v>
      </c>
      <c r="F96" s="7">
        <v>51.84</v>
      </c>
    </row>
    <row r="97" spans="1:6" x14ac:dyDescent="0.3">
      <c r="A97" s="2">
        <v>44057</v>
      </c>
      <c r="B97" s="6">
        <v>32.24</v>
      </c>
      <c r="C97" s="6">
        <v>41.5</v>
      </c>
      <c r="D97" s="6">
        <v>49.83</v>
      </c>
      <c r="E97" s="6">
        <f>_xlfn.XLOOKUP(A97,'[1]Price History'!$A$3:$A$946,'[1]Price History'!$K$3:$K$946)</f>
        <v>54.21</v>
      </c>
      <c r="F97" s="6">
        <v>53.43</v>
      </c>
    </row>
    <row r="98" spans="1:6" x14ac:dyDescent="0.3">
      <c r="A98" s="3">
        <v>44060</v>
      </c>
      <c r="B98" s="7">
        <v>32.24</v>
      </c>
      <c r="C98" s="7">
        <v>41.5</v>
      </c>
      <c r="D98" s="7">
        <v>49.83</v>
      </c>
      <c r="E98" s="7">
        <f>E97</f>
        <v>54.21</v>
      </c>
      <c r="F98" s="7">
        <v>53.43</v>
      </c>
    </row>
    <row r="99" spans="1:6" x14ac:dyDescent="0.3">
      <c r="A99" s="2">
        <v>44061</v>
      </c>
      <c r="B99" s="6">
        <v>32.24</v>
      </c>
      <c r="C99" s="6">
        <v>41.5</v>
      </c>
      <c r="D99" s="6">
        <v>49.83</v>
      </c>
      <c r="E99" s="6">
        <f>E98</f>
        <v>54.21</v>
      </c>
      <c r="F99" s="6">
        <v>53.43</v>
      </c>
    </row>
    <row r="100" spans="1:6" x14ac:dyDescent="0.3">
      <c r="A100" s="3">
        <v>44062</v>
      </c>
      <c r="B100" s="7">
        <v>32.24</v>
      </c>
      <c r="C100" s="7">
        <v>41.5</v>
      </c>
      <c r="D100" s="7">
        <v>49.83</v>
      </c>
      <c r="E100" s="7">
        <f>E99</f>
        <v>54.21</v>
      </c>
      <c r="F100" s="7">
        <v>53.43</v>
      </c>
    </row>
    <row r="101" spans="1:6" x14ac:dyDescent="0.3">
      <c r="A101" s="2">
        <v>44063</v>
      </c>
      <c r="B101" s="6">
        <v>32.24</v>
      </c>
      <c r="C101" s="6">
        <v>41.5</v>
      </c>
      <c r="D101" s="6">
        <v>49.83</v>
      </c>
      <c r="E101" s="6">
        <f>E100</f>
        <v>54.21</v>
      </c>
      <c r="F101" s="6">
        <v>53.43</v>
      </c>
    </row>
    <row r="102" spans="1:6" x14ac:dyDescent="0.3">
      <c r="A102" s="3">
        <v>44064</v>
      </c>
      <c r="B102" s="7">
        <v>34</v>
      </c>
      <c r="C102" s="7">
        <v>44.09</v>
      </c>
      <c r="D102" s="7">
        <v>51.33</v>
      </c>
      <c r="E102" s="7">
        <f>_xlfn.XLOOKUP(A102,'[1]Price History'!$A$3:$A$946,'[1]Price History'!$K$3:$K$946)</f>
        <v>56.36</v>
      </c>
      <c r="F102" s="7">
        <v>54.22</v>
      </c>
    </row>
    <row r="103" spans="1:6" x14ac:dyDescent="0.3">
      <c r="A103" s="2">
        <v>44067</v>
      </c>
      <c r="B103" s="6">
        <v>34</v>
      </c>
      <c r="C103" s="6">
        <v>44.09</v>
      </c>
      <c r="D103" s="6">
        <v>51.33</v>
      </c>
      <c r="E103" s="6">
        <f>E102</f>
        <v>56.36</v>
      </c>
      <c r="F103" s="6">
        <v>54.22</v>
      </c>
    </row>
    <row r="104" spans="1:6" x14ac:dyDescent="0.3">
      <c r="A104" s="3">
        <v>44068</v>
      </c>
      <c r="B104" s="7">
        <v>34</v>
      </c>
      <c r="C104" s="7">
        <v>44.09</v>
      </c>
      <c r="D104" s="7">
        <v>51.33</v>
      </c>
      <c r="E104" s="7">
        <f>E103</f>
        <v>56.36</v>
      </c>
      <c r="F104" s="7">
        <v>54.22</v>
      </c>
    </row>
    <row r="105" spans="1:6" x14ac:dyDescent="0.3">
      <c r="A105" s="2">
        <v>44069</v>
      </c>
      <c r="B105" s="6">
        <v>34</v>
      </c>
      <c r="C105" s="6">
        <v>44.09</v>
      </c>
      <c r="D105" s="6">
        <v>51.33</v>
      </c>
      <c r="E105" s="6">
        <f>E104</f>
        <v>56.36</v>
      </c>
      <c r="F105" s="6">
        <v>54.22</v>
      </c>
    </row>
    <row r="106" spans="1:6" x14ac:dyDescent="0.3">
      <c r="A106" s="3">
        <v>44070</v>
      </c>
      <c r="B106" s="7">
        <v>34</v>
      </c>
      <c r="C106" s="7">
        <v>44.09</v>
      </c>
      <c r="D106" s="7">
        <v>51.33</v>
      </c>
      <c r="E106" s="7">
        <f>E105</f>
        <v>56.36</v>
      </c>
      <c r="F106" s="7">
        <v>54.22</v>
      </c>
    </row>
    <row r="107" spans="1:6" x14ac:dyDescent="0.3">
      <c r="A107" s="2">
        <v>44071</v>
      </c>
      <c r="B107" s="6">
        <v>33.42</v>
      </c>
      <c r="C107" s="6">
        <v>44.2</v>
      </c>
      <c r="D107" s="6">
        <v>51.22</v>
      </c>
      <c r="E107" s="6">
        <f>_xlfn.XLOOKUP(A107,'[1]Price History'!$A$3:$A$946,'[1]Price History'!$K$3:$K$946)</f>
        <v>55.91</v>
      </c>
      <c r="F107" s="6">
        <v>55.28</v>
      </c>
    </row>
    <row r="108" spans="1:6" x14ac:dyDescent="0.3">
      <c r="A108" s="3">
        <v>44074</v>
      </c>
      <c r="B108" s="7"/>
      <c r="C108" s="7"/>
      <c r="D108" s="7"/>
      <c r="E108" s="7">
        <f>E107</f>
        <v>55.91</v>
      </c>
      <c r="F108" s="7"/>
    </row>
    <row r="109" spans="1:6" x14ac:dyDescent="0.3">
      <c r="A109" s="2">
        <v>44075</v>
      </c>
      <c r="B109" s="6">
        <v>33.42</v>
      </c>
      <c r="C109" s="6">
        <v>44.2</v>
      </c>
      <c r="D109" s="6">
        <v>51.22</v>
      </c>
      <c r="E109" s="6">
        <f>E108</f>
        <v>55.91</v>
      </c>
      <c r="F109" s="6">
        <v>55.28</v>
      </c>
    </row>
    <row r="110" spans="1:6" x14ac:dyDescent="0.3">
      <c r="A110" s="3">
        <v>44076</v>
      </c>
      <c r="B110" s="7">
        <v>33.42</v>
      </c>
      <c r="C110" s="7">
        <v>44.2</v>
      </c>
      <c r="D110" s="7">
        <v>51.22</v>
      </c>
      <c r="E110" s="7">
        <f>E109</f>
        <v>55.91</v>
      </c>
      <c r="F110" s="7">
        <v>55.28</v>
      </c>
    </row>
    <row r="111" spans="1:6" x14ac:dyDescent="0.3">
      <c r="A111" s="2">
        <v>44077</v>
      </c>
      <c r="B111" s="6">
        <v>33.42</v>
      </c>
      <c r="C111" s="6">
        <v>44.2</v>
      </c>
      <c r="D111" s="6">
        <v>51.22</v>
      </c>
      <c r="E111" s="6">
        <f>E110</f>
        <v>55.91</v>
      </c>
      <c r="F111" s="6">
        <v>55.28</v>
      </c>
    </row>
    <row r="112" spans="1:6" x14ac:dyDescent="0.3">
      <c r="A112" s="3">
        <v>44078</v>
      </c>
      <c r="B112" s="7">
        <v>34.32</v>
      </c>
      <c r="C112" s="7">
        <v>45.09</v>
      </c>
      <c r="D112" s="7">
        <v>52.71</v>
      </c>
      <c r="E112" s="7">
        <f>_xlfn.XLOOKUP(A112,'[1]Price History'!$A$3:$A$946,'[1]Price History'!$K$3:$K$946)</f>
        <v>57.13</v>
      </c>
      <c r="F112" s="7">
        <v>56</v>
      </c>
    </row>
    <row r="113" spans="1:6" x14ac:dyDescent="0.3">
      <c r="A113" s="2">
        <v>44081</v>
      </c>
      <c r="B113" s="6">
        <v>34.32</v>
      </c>
      <c r="C113" s="6">
        <v>45.09</v>
      </c>
      <c r="D113" s="6">
        <v>52.71</v>
      </c>
      <c r="E113" s="6">
        <f>E112</f>
        <v>57.13</v>
      </c>
      <c r="F113" s="6">
        <v>56</v>
      </c>
    </row>
    <row r="114" spans="1:6" x14ac:dyDescent="0.3">
      <c r="A114" s="3">
        <v>44082</v>
      </c>
      <c r="B114" s="7">
        <v>34.32</v>
      </c>
      <c r="C114" s="7">
        <v>45.09</v>
      </c>
      <c r="D114" s="7">
        <v>52.71</v>
      </c>
      <c r="E114" s="7">
        <f>E113</f>
        <v>57.13</v>
      </c>
      <c r="F114" s="7">
        <v>56</v>
      </c>
    </row>
    <row r="115" spans="1:6" x14ac:dyDescent="0.3">
      <c r="A115" s="2">
        <v>44083</v>
      </c>
      <c r="B115" s="6">
        <v>34.32</v>
      </c>
      <c r="C115" s="6">
        <v>45.09</v>
      </c>
      <c r="D115" s="6">
        <v>52.71</v>
      </c>
      <c r="E115" s="6">
        <f>E114</f>
        <v>57.13</v>
      </c>
      <c r="F115" s="6">
        <v>56</v>
      </c>
    </row>
    <row r="116" spans="1:6" x14ac:dyDescent="0.3">
      <c r="A116" s="3">
        <v>44084</v>
      </c>
      <c r="B116" s="7">
        <v>34.32</v>
      </c>
      <c r="C116" s="7">
        <v>45.09</v>
      </c>
      <c r="D116" s="7">
        <v>52.71</v>
      </c>
      <c r="E116" s="7">
        <f>E115</f>
        <v>57.13</v>
      </c>
      <c r="F116" s="7">
        <v>56</v>
      </c>
    </row>
    <row r="117" spans="1:6" x14ac:dyDescent="0.3">
      <c r="A117" s="2">
        <v>44085</v>
      </c>
      <c r="B117" s="6">
        <v>33.14</v>
      </c>
      <c r="C117" s="6">
        <v>43.56</v>
      </c>
      <c r="D117" s="6">
        <v>51.58</v>
      </c>
      <c r="E117" s="6">
        <f>_xlfn.XLOOKUP(A117,'[1]Price History'!$A$3:$A$946,'[1]Price History'!$K$3:$K$946)</f>
        <v>55.72</v>
      </c>
      <c r="F117" s="6">
        <v>55.52</v>
      </c>
    </row>
    <row r="118" spans="1:6" x14ac:dyDescent="0.3">
      <c r="A118" s="3">
        <v>44088</v>
      </c>
      <c r="B118" s="7">
        <v>33.14</v>
      </c>
      <c r="C118" s="7">
        <v>43.56</v>
      </c>
      <c r="D118" s="7">
        <v>51.58</v>
      </c>
      <c r="E118" s="7">
        <f>E117</f>
        <v>55.72</v>
      </c>
      <c r="F118" s="7">
        <v>55.52</v>
      </c>
    </row>
    <row r="119" spans="1:6" x14ac:dyDescent="0.3">
      <c r="A119" s="2">
        <v>44089</v>
      </c>
      <c r="B119" s="6">
        <v>33.14</v>
      </c>
      <c r="C119" s="6">
        <v>43.56</v>
      </c>
      <c r="D119" s="6">
        <v>51.58</v>
      </c>
      <c r="E119" s="6">
        <f>E118</f>
        <v>55.72</v>
      </c>
      <c r="F119" s="6">
        <v>55.52</v>
      </c>
    </row>
    <row r="120" spans="1:6" x14ac:dyDescent="0.3">
      <c r="A120" s="3">
        <v>44090</v>
      </c>
      <c r="B120" s="7">
        <v>33.14</v>
      </c>
      <c r="C120" s="7">
        <v>43.56</v>
      </c>
      <c r="D120" s="7">
        <v>51.58</v>
      </c>
      <c r="E120" s="7">
        <f>E119</f>
        <v>55.72</v>
      </c>
      <c r="F120" s="7">
        <v>55.52</v>
      </c>
    </row>
    <row r="121" spans="1:6" x14ac:dyDescent="0.3">
      <c r="A121" s="2">
        <v>44091</v>
      </c>
      <c r="B121" s="6">
        <v>33.14</v>
      </c>
      <c r="C121" s="6">
        <v>43.56</v>
      </c>
      <c r="D121" s="6">
        <v>51.58</v>
      </c>
      <c r="E121" s="6">
        <f>E120</f>
        <v>55.72</v>
      </c>
      <c r="F121" s="6">
        <v>55.52</v>
      </c>
    </row>
    <row r="122" spans="1:6" x14ac:dyDescent="0.3">
      <c r="A122" s="3">
        <v>44092</v>
      </c>
      <c r="B122" s="7">
        <v>34.18</v>
      </c>
      <c r="C122" s="7">
        <v>45.13</v>
      </c>
      <c r="D122" s="7">
        <v>53.19</v>
      </c>
      <c r="E122" s="7">
        <f>_xlfn.XLOOKUP(A122,'[1]Price History'!$A$3:$A$946,'[1]Price History'!$K$3:$K$946)</f>
        <v>56.18</v>
      </c>
      <c r="F122" s="7">
        <v>55.66</v>
      </c>
    </row>
    <row r="123" spans="1:6" x14ac:dyDescent="0.3">
      <c r="A123" s="2">
        <v>44095</v>
      </c>
      <c r="B123" s="6">
        <v>34.18</v>
      </c>
      <c r="C123" s="6">
        <v>45.13</v>
      </c>
      <c r="D123" s="6">
        <v>53.19</v>
      </c>
      <c r="E123" s="6">
        <f>E122</f>
        <v>56.18</v>
      </c>
      <c r="F123" s="6">
        <v>55.66</v>
      </c>
    </row>
    <row r="124" spans="1:6" x14ac:dyDescent="0.3">
      <c r="A124" s="3">
        <v>44096</v>
      </c>
      <c r="B124" s="7">
        <v>34.18</v>
      </c>
      <c r="C124" s="7">
        <v>45.13</v>
      </c>
      <c r="D124" s="7">
        <v>53.19</v>
      </c>
      <c r="E124" s="7">
        <f>E123</f>
        <v>56.18</v>
      </c>
      <c r="F124" s="7">
        <v>55.66</v>
      </c>
    </row>
    <row r="125" spans="1:6" x14ac:dyDescent="0.3">
      <c r="A125" s="2">
        <v>44097</v>
      </c>
      <c r="B125" s="6">
        <v>34.18</v>
      </c>
      <c r="C125" s="6">
        <v>45.13</v>
      </c>
      <c r="D125" s="6">
        <v>53.19</v>
      </c>
      <c r="E125" s="6">
        <f>E124</f>
        <v>56.18</v>
      </c>
      <c r="F125" s="6">
        <v>55.66</v>
      </c>
    </row>
    <row r="126" spans="1:6" x14ac:dyDescent="0.3">
      <c r="A126" s="3">
        <v>44098</v>
      </c>
      <c r="B126" s="7">
        <v>34.18</v>
      </c>
      <c r="C126" s="7">
        <v>45.13</v>
      </c>
      <c r="D126" s="7">
        <v>53.19</v>
      </c>
      <c r="E126" s="7">
        <f>E125</f>
        <v>56.18</v>
      </c>
      <c r="F126" s="7">
        <v>55.66</v>
      </c>
    </row>
    <row r="127" spans="1:6" x14ac:dyDescent="0.3">
      <c r="A127" s="2">
        <v>44099</v>
      </c>
      <c r="B127" s="6">
        <v>35.590000000000003</v>
      </c>
      <c r="C127" s="6">
        <v>48.02</v>
      </c>
      <c r="D127" s="6">
        <v>56.57</v>
      </c>
      <c r="E127" s="6">
        <f>_xlfn.XLOOKUP(A127,'[1]Price History'!$A$3:$A$946,'[1]Price History'!$K$3:$K$946)</f>
        <v>58.95</v>
      </c>
      <c r="F127" s="6">
        <v>59.12</v>
      </c>
    </row>
    <row r="128" spans="1:6" x14ac:dyDescent="0.3">
      <c r="A128" s="3">
        <v>44102</v>
      </c>
      <c r="B128" s="7">
        <v>35.590000000000003</v>
      </c>
      <c r="C128" s="7">
        <v>48.02</v>
      </c>
      <c r="D128" s="7">
        <v>56.57</v>
      </c>
      <c r="E128" s="7">
        <f>E127</f>
        <v>58.95</v>
      </c>
      <c r="F128" s="7">
        <v>59.12</v>
      </c>
    </row>
    <row r="129" spans="1:6" x14ac:dyDescent="0.3">
      <c r="A129" s="2">
        <v>44103</v>
      </c>
      <c r="B129" s="6">
        <v>35.590000000000003</v>
      </c>
      <c r="C129" s="6">
        <v>48.02</v>
      </c>
      <c r="D129" s="6">
        <v>56.57</v>
      </c>
      <c r="E129" s="6">
        <f>E128</f>
        <v>58.95</v>
      </c>
      <c r="F129" s="6">
        <v>59.12</v>
      </c>
    </row>
    <row r="130" spans="1:6" x14ac:dyDescent="0.3">
      <c r="A130" s="3">
        <v>44104</v>
      </c>
      <c r="B130" s="7">
        <v>35.590000000000003</v>
      </c>
      <c r="C130" s="7">
        <v>48.02</v>
      </c>
      <c r="D130" s="7">
        <v>56.57</v>
      </c>
      <c r="E130" s="7">
        <f>E129</f>
        <v>58.95</v>
      </c>
      <c r="F130" s="7">
        <v>59.12</v>
      </c>
    </row>
    <row r="131" spans="1:6" x14ac:dyDescent="0.3">
      <c r="A131" s="2">
        <v>44105</v>
      </c>
      <c r="B131" s="6">
        <v>35.590000000000003</v>
      </c>
      <c r="C131" s="6">
        <v>48.02</v>
      </c>
      <c r="D131" s="6">
        <v>56.57</v>
      </c>
      <c r="E131" s="6">
        <f>E130</f>
        <v>58.95</v>
      </c>
      <c r="F131" s="6">
        <v>59.12</v>
      </c>
    </row>
    <row r="132" spans="1:6" x14ac:dyDescent="0.3">
      <c r="A132" s="3">
        <v>44106</v>
      </c>
      <c r="B132" s="7">
        <v>35.81</v>
      </c>
      <c r="C132" s="7">
        <v>49.65</v>
      </c>
      <c r="D132" s="7">
        <v>58.87</v>
      </c>
      <c r="E132" s="7">
        <f>_xlfn.XLOOKUP(A132,'[1]Price History'!$A$3:$A$946,'[1]Price History'!$K$3:$K$946)</f>
        <v>61.72</v>
      </c>
      <c r="F132" s="7">
        <v>58.67</v>
      </c>
    </row>
    <row r="133" spans="1:6" x14ac:dyDescent="0.3">
      <c r="A133" s="2">
        <v>44109</v>
      </c>
      <c r="B133" s="6">
        <v>35.81</v>
      </c>
      <c r="C133" s="6">
        <v>49.65</v>
      </c>
      <c r="D133" s="6">
        <v>58.87</v>
      </c>
      <c r="E133" s="6">
        <f>E132</f>
        <v>61.72</v>
      </c>
      <c r="F133" s="6">
        <v>58.67</v>
      </c>
    </row>
    <row r="134" spans="1:6" x14ac:dyDescent="0.3">
      <c r="A134" s="3">
        <v>44110</v>
      </c>
      <c r="B134" s="7">
        <v>35.81</v>
      </c>
      <c r="C134" s="7">
        <v>49.65</v>
      </c>
      <c r="D134" s="7">
        <v>58.87</v>
      </c>
      <c r="E134" s="7">
        <f>E133</f>
        <v>61.72</v>
      </c>
      <c r="F134" s="7">
        <v>58.67</v>
      </c>
    </row>
    <row r="135" spans="1:6" x14ac:dyDescent="0.3">
      <c r="A135" s="2">
        <v>44111</v>
      </c>
      <c r="B135" s="6">
        <v>35.81</v>
      </c>
      <c r="C135" s="6">
        <v>49.65</v>
      </c>
      <c r="D135" s="6">
        <v>58.87</v>
      </c>
      <c r="E135" s="6">
        <f>E134</f>
        <v>61.72</v>
      </c>
      <c r="F135" s="6">
        <v>58.67</v>
      </c>
    </row>
    <row r="136" spans="1:6" x14ac:dyDescent="0.3">
      <c r="A136" s="3">
        <v>44112</v>
      </c>
      <c r="B136" s="7">
        <v>35.81</v>
      </c>
      <c r="C136" s="7">
        <v>49.65</v>
      </c>
      <c r="D136" s="7">
        <v>58.87</v>
      </c>
      <c r="E136" s="7">
        <f>E135</f>
        <v>61.72</v>
      </c>
      <c r="F136" s="7">
        <v>58.67</v>
      </c>
    </row>
    <row r="137" spans="1:6" x14ac:dyDescent="0.3">
      <c r="A137" s="2">
        <v>44113</v>
      </c>
      <c r="B137" s="6">
        <v>35.33</v>
      </c>
      <c r="C137" s="6">
        <v>47.56</v>
      </c>
      <c r="D137" s="6">
        <v>56.82</v>
      </c>
      <c r="E137" s="6">
        <f>_xlfn.XLOOKUP(A137,'[1]Price History'!$A$3:$A$946,'[1]Price History'!$K$3:$K$946)</f>
        <v>59.93</v>
      </c>
      <c r="F137" s="6">
        <v>57.95</v>
      </c>
    </row>
    <row r="138" spans="1:6" x14ac:dyDescent="0.3">
      <c r="A138" s="3">
        <v>44116</v>
      </c>
      <c r="B138" s="7">
        <v>35.33</v>
      </c>
      <c r="C138" s="7">
        <v>47.56</v>
      </c>
      <c r="D138" s="7">
        <v>56.82</v>
      </c>
      <c r="E138" s="7">
        <f>E137</f>
        <v>59.93</v>
      </c>
      <c r="F138" s="7">
        <v>57.95</v>
      </c>
    </row>
    <row r="139" spans="1:6" x14ac:dyDescent="0.3">
      <c r="A139" s="2">
        <v>44117</v>
      </c>
      <c r="B139" s="6">
        <v>35.33</v>
      </c>
      <c r="C139" s="6">
        <v>47.56</v>
      </c>
      <c r="D139" s="6">
        <v>56.82</v>
      </c>
      <c r="E139" s="6">
        <f>E138</f>
        <v>59.93</v>
      </c>
      <c r="F139" s="6">
        <v>57.95</v>
      </c>
    </row>
    <row r="140" spans="1:6" x14ac:dyDescent="0.3">
      <c r="A140" s="3">
        <v>44118</v>
      </c>
      <c r="B140" s="7">
        <v>35.33</v>
      </c>
      <c r="C140" s="7">
        <v>47.56</v>
      </c>
      <c r="D140" s="7">
        <v>56.82</v>
      </c>
      <c r="E140" s="7">
        <f>E139</f>
        <v>59.93</v>
      </c>
      <c r="F140" s="7">
        <v>57.95</v>
      </c>
    </row>
    <row r="141" spans="1:6" x14ac:dyDescent="0.3">
      <c r="A141" s="2">
        <v>44119</v>
      </c>
      <c r="B141" s="6">
        <v>35.33</v>
      </c>
      <c r="C141" s="6">
        <v>47.56</v>
      </c>
      <c r="D141" s="6">
        <v>56.82</v>
      </c>
      <c r="E141" s="6">
        <f>E140</f>
        <v>59.93</v>
      </c>
      <c r="F141" s="6">
        <v>57.95</v>
      </c>
    </row>
    <row r="142" spans="1:6" x14ac:dyDescent="0.3">
      <c r="A142" s="3">
        <v>44120</v>
      </c>
      <c r="B142" s="7">
        <v>33.86</v>
      </c>
      <c r="C142" s="7">
        <v>45.32</v>
      </c>
      <c r="D142" s="7">
        <v>54.61</v>
      </c>
      <c r="E142" s="7">
        <f>_xlfn.XLOOKUP(A142,'[1]Price History'!$A$3:$A$946,'[1]Price History'!$K$3:$K$946)</f>
        <v>57.01</v>
      </c>
      <c r="F142" s="7">
        <v>56.36</v>
      </c>
    </row>
    <row r="143" spans="1:6" x14ac:dyDescent="0.3">
      <c r="A143" s="2">
        <v>44123</v>
      </c>
      <c r="B143" s="6">
        <v>33.86</v>
      </c>
      <c r="C143" s="6">
        <v>45.32</v>
      </c>
      <c r="D143" s="6">
        <v>54.61</v>
      </c>
      <c r="E143" s="6">
        <f>E142</f>
        <v>57.01</v>
      </c>
      <c r="F143" s="6">
        <v>56.36</v>
      </c>
    </row>
    <row r="144" spans="1:6" x14ac:dyDescent="0.3">
      <c r="A144" s="3">
        <v>44124</v>
      </c>
      <c r="B144" s="7">
        <v>33.86</v>
      </c>
      <c r="C144" s="7">
        <v>45.32</v>
      </c>
      <c r="D144" s="7">
        <v>54.61</v>
      </c>
      <c r="E144" s="7">
        <f>E143</f>
        <v>57.01</v>
      </c>
      <c r="F144" s="7">
        <v>56.36</v>
      </c>
    </row>
    <row r="145" spans="1:6" x14ac:dyDescent="0.3">
      <c r="A145" s="2">
        <v>44125</v>
      </c>
      <c r="B145" s="6">
        <v>33.86</v>
      </c>
      <c r="C145" s="6">
        <v>45.32</v>
      </c>
      <c r="D145" s="6">
        <v>54.61</v>
      </c>
      <c r="E145" s="6">
        <f>E144</f>
        <v>57.01</v>
      </c>
      <c r="F145" s="6">
        <v>56.36</v>
      </c>
    </row>
    <row r="146" spans="1:6" x14ac:dyDescent="0.3">
      <c r="A146" s="3">
        <v>44126</v>
      </c>
      <c r="B146" s="7">
        <v>33.86</v>
      </c>
      <c r="C146" s="7">
        <v>45.32</v>
      </c>
      <c r="D146" s="7">
        <v>54.61</v>
      </c>
      <c r="E146" s="7">
        <f>E145</f>
        <v>57.01</v>
      </c>
      <c r="F146" s="7">
        <v>56.36</v>
      </c>
    </row>
    <row r="147" spans="1:6" x14ac:dyDescent="0.3">
      <c r="A147" s="2">
        <v>44127</v>
      </c>
      <c r="B147" s="6">
        <v>34.56</v>
      </c>
      <c r="C147" s="6">
        <v>45.67</v>
      </c>
      <c r="D147" s="6">
        <v>55.01</v>
      </c>
      <c r="E147" s="6">
        <f>_xlfn.XLOOKUP(A147,'[1]Price History'!$A$3:$A$946,'[1]Price History'!$K$3:$K$946)</f>
        <v>57.37</v>
      </c>
      <c r="F147" s="6">
        <v>56.1</v>
      </c>
    </row>
    <row r="148" spans="1:6" x14ac:dyDescent="0.3">
      <c r="A148" s="3">
        <v>44130</v>
      </c>
      <c r="B148" s="7">
        <v>34.56</v>
      </c>
      <c r="C148" s="7">
        <v>45.67</v>
      </c>
      <c r="D148" s="7">
        <v>55.01</v>
      </c>
      <c r="E148" s="7">
        <f>E147</f>
        <v>57.37</v>
      </c>
      <c r="F148" s="7">
        <v>56.1</v>
      </c>
    </row>
    <row r="149" spans="1:6" x14ac:dyDescent="0.3">
      <c r="A149" s="2">
        <v>44131</v>
      </c>
      <c r="B149" s="6">
        <v>34.56</v>
      </c>
      <c r="C149" s="6">
        <v>45.67</v>
      </c>
      <c r="D149" s="6">
        <v>55.01</v>
      </c>
      <c r="E149" s="6">
        <f>E148</f>
        <v>57.37</v>
      </c>
      <c r="F149" s="6">
        <v>56.1</v>
      </c>
    </row>
    <row r="150" spans="1:6" x14ac:dyDescent="0.3">
      <c r="A150" s="3">
        <v>44132</v>
      </c>
      <c r="B150" s="7">
        <v>34.56</v>
      </c>
      <c r="C150" s="7">
        <v>45.67</v>
      </c>
      <c r="D150" s="7">
        <v>55.01</v>
      </c>
      <c r="E150" s="7">
        <f>E149</f>
        <v>57.37</v>
      </c>
      <c r="F150" s="7">
        <v>56.1</v>
      </c>
    </row>
    <row r="151" spans="1:6" x14ac:dyDescent="0.3">
      <c r="A151" s="2">
        <v>44133</v>
      </c>
      <c r="B151" s="6">
        <v>34.56</v>
      </c>
      <c r="C151" s="6">
        <v>45.67</v>
      </c>
      <c r="D151" s="6">
        <v>55.01</v>
      </c>
      <c r="E151" s="6">
        <f>E150</f>
        <v>57.37</v>
      </c>
      <c r="F151" s="6">
        <v>56.1</v>
      </c>
    </row>
    <row r="152" spans="1:6" x14ac:dyDescent="0.3">
      <c r="A152" s="3">
        <v>44134</v>
      </c>
      <c r="B152" s="7">
        <v>35.11</v>
      </c>
      <c r="C152" s="7">
        <v>46.43</v>
      </c>
      <c r="D152" s="7">
        <v>55.61</v>
      </c>
      <c r="E152" s="7">
        <f>_xlfn.XLOOKUP(A152,'[1]Price History'!$A$3:$A$946,'[1]Price History'!$K$3:$K$946)</f>
        <v>59.71</v>
      </c>
      <c r="F152" s="7">
        <v>56.48</v>
      </c>
    </row>
    <row r="153" spans="1:6" x14ac:dyDescent="0.3">
      <c r="A153" s="2">
        <v>44137</v>
      </c>
      <c r="B153" s="6">
        <v>35.11</v>
      </c>
      <c r="C153" s="6">
        <v>46.43</v>
      </c>
      <c r="D153" s="6">
        <v>55.61</v>
      </c>
      <c r="E153" s="6">
        <f>E152</f>
        <v>59.71</v>
      </c>
      <c r="F153" s="6">
        <v>56.48</v>
      </c>
    </row>
    <row r="154" spans="1:6" x14ac:dyDescent="0.3">
      <c r="A154" s="3">
        <v>44138</v>
      </c>
      <c r="B154" s="7">
        <v>35.11</v>
      </c>
      <c r="C154" s="7">
        <v>46.43</v>
      </c>
      <c r="D154" s="7">
        <v>55.61</v>
      </c>
      <c r="E154" s="7">
        <f>E153</f>
        <v>59.71</v>
      </c>
      <c r="F154" s="7">
        <v>56.48</v>
      </c>
    </row>
    <row r="155" spans="1:6" x14ac:dyDescent="0.3">
      <c r="A155" s="2">
        <v>44139</v>
      </c>
      <c r="B155" s="6">
        <v>35.11</v>
      </c>
      <c r="C155" s="6">
        <v>46.43</v>
      </c>
      <c r="D155" s="6">
        <v>55.61</v>
      </c>
      <c r="E155" s="6">
        <f>E154</f>
        <v>59.71</v>
      </c>
      <c r="F155" s="6">
        <v>56.48</v>
      </c>
    </row>
    <row r="156" spans="1:6" x14ac:dyDescent="0.3">
      <c r="A156" s="3">
        <v>44140</v>
      </c>
      <c r="B156" s="7">
        <v>35.11</v>
      </c>
      <c r="C156" s="7">
        <v>46.43</v>
      </c>
      <c r="D156" s="7">
        <v>55.61</v>
      </c>
      <c r="E156" s="7">
        <f>E155</f>
        <v>59.71</v>
      </c>
      <c r="F156" s="7">
        <v>56.48</v>
      </c>
    </row>
    <row r="157" spans="1:6" x14ac:dyDescent="0.3">
      <c r="A157" s="2">
        <v>44141</v>
      </c>
      <c r="B157" s="6">
        <v>36.130000000000003</v>
      </c>
      <c r="C157" s="6">
        <v>47.56</v>
      </c>
      <c r="D157" s="6">
        <v>56.76</v>
      </c>
      <c r="E157" s="6">
        <f>_xlfn.XLOOKUP(A157,'[1]Price History'!$A$3:$A$946,'[1]Price History'!$K$3:$K$946)</f>
        <v>61.35</v>
      </c>
      <c r="F157" s="6">
        <v>57.65</v>
      </c>
    </row>
    <row r="158" spans="1:6" x14ac:dyDescent="0.3">
      <c r="A158" s="3">
        <v>44144</v>
      </c>
      <c r="B158" s="7">
        <v>36.130000000000003</v>
      </c>
      <c r="C158" s="7">
        <v>47.56</v>
      </c>
      <c r="D158" s="7">
        <v>56.76</v>
      </c>
      <c r="E158" s="7">
        <f>E157</f>
        <v>61.35</v>
      </c>
      <c r="F158" s="7">
        <v>57.65</v>
      </c>
    </row>
    <row r="159" spans="1:6" x14ac:dyDescent="0.3">
      <c r="A159" s="2">
        <v>44145</v>
      </c>
      <c r="B159" s="6">
        <v>36.130000000000003</v>
      </c>
      <c r="C159" s="6">
        <v>47.56</v>
      </c>
      <c r="D159" s="6">
        <v>56.76</v>
      </c>
      <c r="E159" s="6">
        <f>E158</f>
        <v>61.35</v>
      </c>
      <c r="F159" s="6">
        <v>57.65</v>
      </c>
    </row>
    <row r="160" spans="1:6" x14ac:dyDescent="0.3">
      <c r="A160" s="3">
        <v>44146</v>
      </c>
      <c r="B160" s="7">
        <v>36.130000000000003</v>
      </c>
      <c r="C160" s="7">
        <v>47.56</v>
      </c>
      <c r="D160" s="7">
        <v>56.76</v>
      </c>
      <c r="E160" s="7">
        <f>E159</f>
        <v>61.35</v>
      </c>
      <c r="F160" s="7">
        <v>57.65</v>
      </c>
    </row>
    <row r="161" spans="1:6" x14ac:dyDescent="0.3">
      <c r="A161" s="2">
        <v>44147</v>
      </c>
      <c r="B161" s="6">
        <v>36.130000000000003</v>
      </c>
      <c r="C161" s="6">
        <v>47.56</v>
      </c>
      <c r="D161" s="6">
        <v>56.76</v>
      </c>
      <c r="E161" s="6">
        <f>E160</f>
        <v>61.35</v>
      </c>
      <c r="F161" s="6">
        <v>57.65</v>
      </c>
    </row>
    <row r="162" spans="1:6" x14ac:dyDescent="0.3">
      <c r="A162" s="3">
        <v>44148</v>
      </c>
      <c r="B162" s="7">
        <v>38.86</v>
      </c>
      <c r="C162" s="7">
        <v>50.86</v>
      </c>
      <c r="D162" s="7">
        <v>60.87</v>
      </c>
      <c r="E162" s="7">
        <f>_xlfn.XLOOKUP(A162,'[1]Price History'!$A$3:$A$946,'[1]Price History'!$K$3:$K$946)</f>
        <v>67.13</v>
      </c>
      <c r="F162" s="7">
        <v>59.33</v>
      </c>
    </row>
    <row r="163" spans="1:6" x14ac:dyDescent="0.3">
      <c r="A163" s="2">
        <v>44151</v>
      </c>
      <c r="B163" s="6">
        <v>38.86</v>
      </c>
      <c r="C163" s="6">
        <v>50.86</v>
      </c>
      <c r="D163" s="6">
        <v>60.87</v>
      </c>
      <c r="E163" s="6">
        <f>E162</f>
        <v>67.13</v>
      </c>
      <c r="F163" s="6">
        <v>59.33</v>
      </c>
    </row>
    <row r="164" spans="1:6" x14ac:dyDescent="0.3">
      <c r="A164" s="3">
        <v>44152</v>
      </c>
      <c r="B164" s="7">
        <v>38.86</v>
      </c>
      <c r="C164" s="7">
        <v>50.86</v>
      </c>
      <c r="D164" s="7">
        <v>60.87</v>
      </c>
      <c r="E164" s="7">
        <f>E163</f>
        <v>67.13</v>
      </c>
      <c r="F164" s="7">
        <v>59.33</v>
      </c>
    </row>
    <row r="165" spans="1:6" x14ac:dyDescent="0.3">
      <c r="A165" s="2">
        <v>44153</v>
      </c>
      <c r="B165" s="6">
        <v>38.86</v>
      </c>
      <c r="C165" s="6">
        <v>50.86</v>
      </c>
      <c r="D165" s="6">
        <v>60.87</v>
      </c>
      <c r="E165" s="6">
        <f>E164</f>
        <v>67.13</v>
      </c>
      <c r="F165" s="6">
        <v>59.33</v>
      </c>
    </row>
    <row r="166" spans="1:6" x14ac:dyDescent="0.3">
      <c r="A166" s="3">
        <v>44154</v>
      </c>
      <c r="B166" s="7">
        <v>38.86</v>
      </c>
      <c r="C166" s="7">
        <v>50.86</v>
      </c>
      <c r="D166" s="7">
        <v>60.87</v>
      </c>
      <c r="E166" s="7">
        <f>E165</f>
        <v>67.13</v>
      </c>
      <c r="F166" s="7">
        <v>59.33</v>
      </c>
    </row>
    <row r="167" spans="1:6" x14ac:dyDescent="0.3">
      <c r="A167" s="2">
        <v>44155</v>
      </c>
      <c r="B167" s="6">
        <v>40.1</v>
      </c>
      <c r="C167" s="6">
        <v>51.78</v>
      </c>
      <c r="D167" s="6">
        <v>62.43</v>
      </c>
      <c r="E167" s="6">
        <f>_xlfn.XLOOKUP(A167,'[1]Price History'!$A$3:$A$946,'[1]Price History'!$K$3:$K$946)</f>
        <v>69.790000000000006</v>
      </c>
      <c r="F167" s="6">
        <v>60.38</v>
      </c>
    </row>
    <row r="168" spans="1:6" x14ac:dyDescent="0.3">
      <c r="A168" s="3">
        <v>44158</v>
      </c>
      <c r="B168" s="7">
        <v>40.1</v>
      </c>
      <c r="C168" s="7">
        <v>51.78</v>
      </c>
      <c r="D168" s="7">
        <v>62.43</v>
      </c>
      <c r="E168" s="7">
        <f>E167</f>
        <v>69.790000000000006</v>
      </c>
      <c r="F168" s="7">
        <v>60.38</v>
      </c>
    </row>
    <row r="169" spans="1:6" x14ac:dyDescent="0.3">
      <c r="A169" s="2">
        <v>44159</v>
      </c>
      <c r="B169" s="6">
        <v>40.1</v>
      </c>
      <c r="C169" s="6">
        <v>51.78</v>
      </c>
      <c r="D169" s="6">
        <v>62.43</v>
      </c>
      <c r="E169" s="6">
        <f>E168</f>
        <v>69.790000000000006</v>
      </c>
      <c r="F169" s="6">
        <v>60.38</v>
      </c>
    </row>
    <row r="170" spans="1:6" x14ac:dyDescent="0.3">
      <c r="A170" s="3">
        <v>44160</v>
      </c>
      <c r="B170" s="7">
        <v>40.1</v>
      </c>
      <c r="C170" s="7">
        <v>51.78</v>
      </c>
      <c r="D170" s="7">
        <v>62.43</v>
      </c>
      <c r="E170" s="7">
        <f>E169</f>
        <v>69.790000000000006</v>
      </c>
      <c r="F170" s="7">
        <v>60.38</v>
      </c>
    </row>
    <row r="171" spans="1:6" x14ac:dyDescent="0.3">
      <c r="A171" s="2">
        <v>44161</v>
      </c>
      <c r="B171" s="6">
        <v>40.1</v>
      </c>
      <c r="C171" s="6">
        <v>51.78</v>
      </c>
      <c r="D171" s="6">
        <v>62.43</v>
      </c>
      <c r="E171" s="6">
        <f>E170</f>
        <v>69.790000000000006</v>
      </c>
      <c r="F171" s="6">
        <v>60.38</v>
      </c>
    </row>
    <row r="172" spans="1:6" x14ac:dyDescent="0.3">
      <c r="A172" s="3">
        <v>44162</v>
      </c>
      <c r="B172" s="7">
        <v>43.19</v>
      </c>
      <c r="C172" s="7">
        <v>55.76</v>
      </c>
      <c r="D172" s="7">
        <v>68.39</v>
      </c>
      <c r="E172" s="7">
        <f>_xlfn.XLOOKUP(A172,'[1]Price History'!$A$3:$A$946,'[1]Price History'!$K$3:$K$946)</f>
        <v>77.72</v>
      </c>
      <c r="F172" s="7">
        <v>66.19</v>
      </c>
    </row>
    <row r="173" spans="1:6" x14ac:dyDescent="0.3">
      <c r="A173" s="2">
        <v>44165</v>
      </c>
      <c r="B173" s="6">
        <v>43.19</v>
      </c>
      <c r="C173" s="6">
        <v>55.76</v>
      </c>
      <c r="D173" s="6">
        <v>68.39</v>
      </c>
      <c r="E173" s="6">
        <f>E172</f>
        <v>77.72</v>
      </c>
      <c r="F173" s="6">
        <v>66.19</v>
      </c>
    </row>
    <row r="174" spans="1:6" x14ac:dyDescent="0.3">
      <c r="A174" s="3">
        <v>44166</v>
      </c>
      <c r="B174" s="7">
        <v>43.19</v>
      </c>
      <c r="C174" s="7">
        <v>55.76</v>
      </c>
      <c r="D174" s="7">
        <v>68.39</v>
      </c>
      <c r="E174" s="7">
        <f>E173</f>
        <v>77.72</v>
      </c>
      <c r="F174" s="7">
        <v>66.19</v>
      </c>
    </row>
    <row r="175" spans="1:6" x14ac:dyDescent="0.3">
      <c r="A175" s="2">
        <v>44167</v>
      </c>
      <c r="B175" s="6">
        <v>43.19</v>
      </c>
      <c r="C175" s="6">
        <v>55.76</v>
      </c>
      <c r="D175" s="6">
        <v>68.39</v>
      </c>
      <c r="E175" s="6">
        <f>E174</f>
        <v>77.72</v>
      </c>
      <c r="F175" s="6">
        <v>66.19</v>
      </c>
    </row>
    <row r="176" spans="1:6" x14ac:dyDescent="0.3">
      <c r="A176" s="3">
        <v>44168</v>
      </c>
      <c r="B176" s="7">
        <v>43.19</v>
      </c>
      <c r="C176" s="7">
        <v>55.76</v>
      </c>
      <c r="D176" s="7">
        <v>68.39</v>
      </c>
      <c r="E176" s="7">
        <f>E175</f>
        <v>77.72</v>
      </c>
      <c r="F176" s="7">
        <v>66.19</v>
      </c>
    </row>
    <row r="177" spans="1:6" x14ac:dyDescent="0.3">
      <c r="A177" s="2">
        <v>44169</v>
      </c>
      <c r="B177" s="6">
        <v>44.27</v>
      </c>
      <c r="C177" s="6">
        <v>59.58</v>
      </c>
      <c r="D177" s="6">
        <v>74.180000000000007</v>
      </c>
      <c r="E177" s="6">
        <f>_xlfn.XLOOKUP(A177,'[1]Price History'!$A$3:$A$946,'[1]Price History'!$K$3:$K$946)</f>
        <v>81.900000000000006</v>
      </c>
      <c r="F177" s="6">
        <v>71.19</v>
      </c>
    </row>
    <row r="178" spans="1:6" x14ac:dyDescent="0.3">
      <c r="A178" s="3">
        <v>44172</v>
      </c>
      <c r="B178" s="7">
        <v>44.27</v>
      </c>
      <c r="C178" s="7">
        <v>59.58</v>
      </c>
      <c r="D178" s="7">
        <v>74.180000000000007</v>
      </c>
      <c r="E178" s="7">
        <f>E177</f>
        <v>81.900000000000006</v>
      </c>
      <c r="F178" s="7">
        <v>71.19</v>
      </c>
    </row>
    <row r="179" spans="1:6" x14ac:dyDescent="0.3">
      <c r="A179" s="2">
        <v>44173</v>
      </c>
      <c r="B179" s="6">
        <v>44.27</v>
      </c>
      <c r="C179" s="6">
        <v>59.58</v>
      </c>
      <c r="D179" s="6">
        <v>74.180000000000007</v>
      </c>
      <c r="E179" s="6">
        <f>E178</f>
        <v>81.900000000000006</v>
      </c>
      <c r="F179" s="6">
        <v>71.19</v>
      </c>
    </row>
    <row r="180" spans="1:6" x14ac:dyDescent="0.3">
      <c r="A180" s="3">
        <v>44174</v>
      </c>
      <c r="B180" s="7">
        <v>44.27</v>
      </c>
      <c r="C180" s="7">
        <v>59.58</v>
      </c>
      <c r="D180" s="7">
        <v>74.180000000000007</v>
      </c>
      <c r="E180" s="7">
        <f>E179</f>
        <v>81.900000000000006</v>
      </c>
      <c r="F180" s="7">
        <v>71.19</v>
      </c>
    </row>
    <row r="181" spans="1:6" x14ac:dyDescent="0.3">
      <c r="A181" s="2">
        <v>44175</v>
      </c>
      <c r="B181" s="6">
        <v>44.27</v>
      </c>
      <c r="C181" s="6">
        <v>59.58</v>
      </c>
      <c r="D181" s="6">
        <v>74.180000000000007</v>
      </c>
      <c r="E181" s="6">
        <f>E180</f>
        <v>81.900000000000006</v>
      </c>
      <c r="F181" s="6">
        <v>71.19</v>
      </c>
    </row>
    <row r="182" spans="1:6" x14ac:dyDescent="0.3">
      <c r="A182" s="3">
        <v>44176</v>
      </c>
      <c r="B182" s="7">
        <v>44.95</v>
      </c>
      <c r="C182" s="7">
        <v>59.94</v>
      </c>
      <c r="D182" s="7">
        <v>74.55</v>
      </c>
      <c r="E182" s="7">
        <f>_xlfn.XLOOKUP(A182,'[1]Price History'!$A$3:$A$946,'[1]Price History'!$K$3:$K$946)</f>
        <v>84.49</v>
      </c>
      <c r="F182" s="7">
        <v>69.44</v>
      </c>
    </row>
    <row r="183" spans="1:6" x14ac:dyDescent="0.3">
      <c r="A183" s="2">
        <v>44179</v>
      </c>
      <c r="B183" s="6">
        <v>44.95</v>
      </c>
      <c r="C183" s="6">
        <v>59.94</v>
      </c>
      <c r="D183" s="6">
        <v>74.55</v>
      </c>
      <c r="E183" s="6">
        <f>E182</f>
        <v>84.49</v>
      </c>
      <c r="F183" s="6">
        <v>69.44</v>
      </c>
    </row>
    <row r="184" spans="1:6" x14ac:dyDescent="0.3">
      <c r="A184" s="3">
        <v>44180</v>
      </c>
      <c r="B184" s="7">
        <v>44.95</v>
      </c>
      <c r="C184" s="7">
        <v>59.94</v>
      </c>
      <c r="D184" s="7">
        <v>74.55</v>
      </c>
      <c r="E184" s="7">
        <f>E183</f>
        <v>84.49</v>
      </c>
      <c r="F184" s="7">
        <v>69.44</v>
      </c>
    </row>
    <row r="185" spans="1:6" x14ac:dyDescent="0.3">
      <c r="A185" s="2">
        <v>44181</v>
      </c>
      <c r="B185" s="6">
        <v>44.95</v>
      </c>
      <c r="C185" s="6">
        <v>59.94</v>
      </c>
      <c r="D185" s="6">
        <v>74.55</v>
      </c>
      <c r="E185" s="6">
        <f>E184</f>
        <v>84.49</v>
      </c>
      <c r="F185" s="6">
        <v>69.44</v>
      </c>
    </row>
    <row r="186" spans="1:6" x14ac:dyDescent="0.3">
      <c r="A186" s="3">
        <v>44182</v>
      </c>
      <c r="B186" s="7">
        <v>44.95</v>
      </c>
      <c r="C186" s="7">
        <v>59.94</v>
      </c>
      <c r="D186" s="7">
        <v>74.55</v>
      </c>
      <c r="E186" s="7">
        <f>E185</f>
        <v>84.49</v>
      </c>
      <c r="F186" s="7">
        <v>69.44</v>
      </c>
    </row>
    <row r="187" spans="1:6" x14ac:dyDescent="0.3">
      <c r="A187" s="2">
        <v>44183</v>
      </c>
      <c r="B187" s="6">
        <v>50.37</v>
      </c>
      <c r="C187" s="6">
        <v>66.25</v>
      </c>
      <c r="D187" s="6">
        <v>82.07</v>
      </c>
      <c r="E187" s="6">
        <f>_xlfn.XLOOKUP(A187,'[1]Price History'!$A$3:$A$946,'[1]Price History'!$K$3:$K$946)</f>
        <v>97.92</v>
      </c>
      <c r="F187" s="6">
        <v>74.89</v>
      </c>
    </row>
    <row r="188" spans="1:6" x14ac:dyDescent="0.3">
      <c r="A188" s="3">
        <v>44186</v>
      </c>
      <c r="B188" s="7">
        <v>50.37</v>
      </c>
      <c r="C188" s="7">
        <v>66.25</v>
      </c>
      <c r="D188" s="7">
        <v>82.07</v>
      </c>
      <c r="E188" s="7">
        <f>E187</f>
        <v>97.92</v>
      </c>
      <c r="F188" s="7">
        <v>74.89</v>
      </c>
    </row>
    <row r="189" spans="1:6" x14ac:dyDescent="0.3">
      <c r="A189" s="2">
        <v>44187</v>
      </c>
      <c r="B189" s="6">
        <v>50.37</v>
      </c>
      <c r="C189" s="6">
        <v>66.25</v>
      </c>
      <c r="D189" s="6">
        <v>82.07</v>
      </c>
      <c r="E189" s="6">
        <f>E188</f>
        <v>97.92</v>
      </c>
      <c r="F189" s="6">
        <v>74.89</v>
      </c>
    </row>
    <row r="190" spans="1:6" x14ac:dyDescent="0.3">
      <c r="A190" s="3">
        <v>44188</v>
      </c>
      <c r="B190" s="7">
        <v>50.37</v>
      </c>
      <c r="C190" s="7">
        <v>66.25</v>
      </c>
      <c r="D190" s="7">
        <v>82.07</v>
      </c>
      <c r="E190" s="7">
        <f>E189</f>
        <v>97.92</v>
      </c>
      <c r="F190" s="7">
        <v>74.89</v>
      </c>
    </row>
    <row r="191" spans="1:6" x14ac:dyDescent="0.3">
      <c r="A191" s="2">
        <v>44189</v>
      </c>
      <c r="B191" s="6">
        <v>48.79</v>
      </c>
      <c r="C191" s="6">
        <v>65.58</v>
      </c>
      <c r="D191" s="6">
        <v>81.31</v>
      </c>
      <c r="E191" s="6">
        <f>_xlfn.XLOOKUP(A191,'[1]Price History'!$A$3:$A$946,'[1]Price History'!$K$3:$K$946)</f>
        <v>97.4</v>
      </c>
      <c r="F191" s="6">
        <v>75.83</v>
      </c>
    </row>
    <row r="192" spans="1:6" x14ac:dyDescent="0.3">
      <c r="A192" s="3">
        <v>44193</v>
      </c>
      <c r="B192" s="7"/>
      <c r="C192" s="7"/>
      <c r="D192" s="7"/>
      <c r="E192" s="7">
        <f>E191</f>
        <v>97.4</v>
      </c>
      <c r="F192" s="7"/>
    </row>
    <row r="193" spans="1:6" x14ac:dyDescent="0.3">
      <c r="A193" s="2">
        <v>44194</v>
      </c>
      <c r="B193" s="6">
        <v>48.79</v>
      </c>
      <c r="C193" s="6">
        <v>65.58</v>
      </c>
      <c r="D193" s="6">
        <v>81.31</v>
      </c>
      <c r="E193" s="6">
        <f>E192</f>
        <v>97.4</v>
      </c>
      <c r="F193" s="6">
        <v>75.83</v>
      </c>
    </row>
    <row r="194" spans="1:6" x14ac:dyDescent="0.3">
      <c r="A194" s="3">
        <v>44195</v>
      </c>
      <c r="B194" s="7">
        <v>48.79</v>
      </c>
      <c r="C194" s="7">
        <v>65.58</v>
      </c>
      <c r="D194" s="7">
        <v>81.31</v>
      </c>
      <c r="E194" s="7">
        <f>E193</f>
        <v>97.4</v>
      </c>
      <c r="F194" s="7">
        <v>75.83</v>
      </c>
    </row>
    <row r="195" spans="1:6" x14ac:dyDescent="0.3">
      <c r="A195" s="2">
        <v>44196</v>
      </c>
      <c r="B195" s="6">
        <v>47.03</v>
      </c>
      <c r="C195" s="6">
        <v>62.38</v>
      </c>
      <c r="D195" s="6">
        <v>76.92</v>
      </c>
      <c r="E195" s="6">
        <f>_xlfn.XLOOKUP(A195,'[1]Price History'!$A$3:$A$946,'[1]Price History'!$K$3:$K$946)</f>
        <v>91.34</v>
      </c>
      <c r="F195" s="6">
        <v>73.430000000000007</v>
      </c>
    </row>
  </sheetData>
  <autoFilter ref="A2:F961" xr:uid="{00000000-0001-0000-0000-000000000000}"/>
  <sortState xmlns:xlrd2="http://schemas.microsoft.com/office/spreadsheetml/2017/richdata2" ref="A3:F960">
    <sortCondition ref="A3:A960"/>
  </sortState>
  <pageMargins left="0.75" right="0.75" top="0.75" bottom="0.5" header="0.5" footer="0.75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582-4F07-4522-BF31-9166E302E9DC}">
  <dimension ref="A1:F261"/>
  <sheetViews>
    <sheetView workbookViewId="0">
      <selection activeCell="I9" sqref="I9"/>
    </sheetView>
  </sheetViews>
  <sheetFormatPr defaultRowHeight="14.4" x14ac:dyDescent="0.3"/>
  <cols>
    <col min="1" max="1" width="11.5546875" bestFit="1" customWidth="1"/>
    <col min="2" max="6" width="17.33203125" customWidth="1"/>
  </cols>
  <sheetData>
    <row r="1" spans="1:6" s="5" customFormat="1" ht="72" x14ac:dyDescent="0.3">
      <c r="A1" s="1"/>
      <c r="B1" s="4" t="s">
        <v>0</v>
      </c>
      <c r="C1" s="4" t="s">
        <v>1</v>
      </c>
      <c r="D1" s="4" t="s">
        <v>2</v>
      </c>
      <c r="E1" s="4" t="s">
        <v>6</v>
      </c>
      <c r="F1" s="4" t="s">
        <v>3</v>
      </c>
    </row>
    <row r="2" spans="1:6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3">
      <c r="A3" s="3">
        <v>44200</v>
      </c>
      <c r="B3" s="6">
        <v>47.03</v>
      </c>
      <c r="C3" s="6">
        <v>62.38</v>
      </c>
      <c r="D3" s="6">
        <v>76.92</v>
      </c>
      <c r="E3" s="6">
        <f>'2020'!E195</f>
        <v>91.34</v>
      </c>
      <c r="F3" s="6">
        <v>73.430000000000007</v>
      </c>
    </row>
    <row r="4" spans="1:6" x14ac:dyDescent="0.3">
      <c r="A4" s="2">
        <v>44201</v>
      </c>
      <c r="B4" s="6">
        <v>47.03</v>
      </c>
      <c r="C4" s="6">
        <v>62.38</v>
      </c>
      <c r="D4" s="6">
        <v>76.92</v>
      </c>
      <c r="E4" s="6">
        <f>E3</f>
        <v>91.34</v>
      </c>
      <c r="F4" s="6">
        <v>73.430000000000007</v>
      </c>
    </row>
    <row r="5" spans="1:6" x14ac:dyDescent="0.3">
      <c r="A5" s="3">
        <v>44202</v>
      </c>
      <c r="B5" s="6">
        <v>47.03</v>
      </c>
      <c r="C5" s="6">
        <v>62.38</v>
      </c>
      <c r="D5" s="6">
        <v>76.92</v>
      </c>
      <c r="E5" s="6">
        <f>E4</f>
        <v>91.34</v>
      </c>
      <c r="F5" s="6">
        <v>73.430000000000007</v>
      </c>
    </row>
    <row r="6" spans="1:6" x14ac:dyDescent="0.3">
      <c r="A6" s="2">
        <v>44203</v>
      </c>
      <c r="B6" s="6">
        <v>47.03</v>
      </c>
      <c r="C6" s="6">
        <v>62.38</v>
      </c>
      <c r="D6" s="6">
        <v>76.92</v>
      </c>
      <c r="E6" s="6">
        <f>E5</f>
        <v>91.34</v>
      </c>
      <c r="F6" s="6">
        <v>73.430000000000007</v>
      </c>
    </row>
    <row r="7" spans="1:6" x14ac:dyDescent="0.3">
      <c r="A7" s="3">
        <v>44204</v>
      </c>
      <c r="B7" s="6">
        <v>46.09</v>
      </c>
      <c r="C7" s="6">
        <v>62.53</v>
      </c>
      <c r="D7" s="6">
        <v>76.28</v>
      </c>
      <c r="E7" s="6">
        <f>_xlfn.XLOOKUP(A7,'[1]Price History'!$A$3:$A$946,'[1]Price History'!$K$3:$K$946)</f>
        <v>87.88</v>
      </c>
      <c r="F7" s="6">
        <v>69.63</v>
      </c>
    </row>
    <row r="8" spans="1:6" x14ac:dyDescent="0.3">
      <c r="A8" s="2">
        <v>44207</v>
      </c>
      <c r="B8" s="6">
        <v>46.09</v>
      </c>
      <c r="C8" s="6">
        <v>62.53</v>
      </c>
      <c r="D8" s="6">
        <v>76.28</v>
      </c>
      <c r="E8" s="6">
        <f>E7</f>
        <v>87.88</v>
      </c>
      <c r="F8" s="6">
        <v>69.63</v>
      </c>
    </row>
    <row r="9" spans="1:6" x14ac:dyDescent="0.3">
      <c r="A9" s="3">
        <v>44208</v>
      </c>
      <c r="B9" s="6">
        <v>46.09</v>
      </c>
      <c r="C9" s="6">
        <v>62.53</v>
      </c>
      <c r="D9" s="6">
        <v>76.28</v>
      </c>
      <c r="E9" s="6">
        <f>E8</f>
        <v>87.88</v>
      </c>
      <c r="F9" s="6">
        <v>69.63</v>
      </c>
    </row>
    <row r="10" spans="1:6" x14ac:dyDescent="0.3">
      <c r="A10" s="2">
        <v>44209</v>
      </c>
      <c r="B10" s="6">
        <v>46.09</v>
      </c>
      <c r="C10" s="6">
        <v>62.53</v>
      </c>
      <c r="D10" s="6">
        <v>76.28</v>
      </c>
      <c r="E10" s="6">
        <f>E9</f>
        <v>87.88</v>
      </c>
      <c r="F10" s="6">
        <v>69.63</v>
      </c>
    </row>
    <row r="11" spans="1:6" x14ac:dyDescent="0.3">
      <c r="A11" s="3">
        <v>44210</v>
      </c>
      <c r="B11" s="6">
        <v>46.09</v>
      </c>
      <c r="C11" s="6">
        <v>62.53</v>
      </c>
      <c r="D11" s="6">
        <v>76.28</v>
      </c>
      <c r="E11" s="6">
        <f>E10</f>
        <v>87.88</v>
      </c>
      <c r="F11" s="6">
        <v>69.63</v>
      </c>
    </row>
    <row r="12" spans="1:6" x14ac:dyDescent="0.3">
      <c r="A12" s="2">
        <v>44211</v>
      </c>
      <c r="B12" s="6">
        <v>49.78</v>
      </c>
      <c r="C12" s="6">
        <v>67.84</v>
      </c>
      <c r="D12" s="6">
        <v>81.81</v>
      </c>
      <c r="E12" s="6">
        <f>_xlfn.XLOOKUP(A12,'[1]Price History'!$A$3:$A$946,'[1]Price History'!$K$3:$K$946)</f>
        <v>95.54</v>
      </c>
      <c r="F12" s="6">
        <v>72.55</v>
      </c>
    </row>
    <row r="13" spans="1:6" x14ac:dyDescent="0.3">
      <c r="A13" s="3">
        <v>44214</v>
      </c>
      <c r="B13" s="6">
        <v>49.78</v>
      </c>
      <c r="C13" s="6">
        <v>67.84</v>
      </c>
      <c r="D13" s="6">
        <v>81.81</v>
      </c>
      <c r="E13" s="6">
        <f>E12</f>
        <v>95.54</v>
      </c>
      <c r="F13" s="6">
        <v>72.55</v>
      </c>
    </row>
    <row r="14" spans="1:6" x14ac:dyDescent="0.3">
      <c r="A14" s="2">
        <v>44215</v>
      </c>
      <c r="B14" s="6">
        <v>49.78</v>
      </c>
      <c r="C14" s="6">
        <v>67.84</v>
      </c>
      <c r="D14" s="6">
        <v>81.81</v>
      </c>
      <c r="E14" s="6">
        <f>E13</f>
        <v>95.54</v>
      </c>
      <c r="F14" s="6">
        <v>72.55</v>
      </c>
    </row>
    <row r="15" spans="1:6" x14ac:dyDescent="0.3">
      <c r="A15" s="3">
        <v>44216</v>
      </c>
      <c r="B15" s="6">
        <v>49.78</v>
      </c>
      <c r="C15" s="6">
        <v>67.84</v>
      </c>
      <c r="D15" s="6">
        <v>81.81</v>
      </c>
      <c r="E15" s="6">
        <f>E14</f>
        <v>95.54</v>
      </c>
      <c r="F15" s="6">
        <v>72.55</v>
      </c>
    </row>
    <row r="16" spans="1:6" x14ac:dyDescent="0.3">
      <c r="A16" s="2">
        <v>44217</v>
      </c>
      <c r="B16" s="6">
        <v>49.78</v>
      </c>
      <c r="C16" s="6">
        <v>67.84</v>
      </c>
      <c r="D16" s="6">
        <v>81.81</v>
      </c>
      <c r="E16" s="6">
        <f>E15</f>
        <v>95.54</v>
      </c>
      <c r="F16" s="6">
        <v>72.55</v>
      </c>
    </row>
    <row r="17" spans="1:6" x14ac:dyDescent="0.3">
      <c r="A17" s="3">
        <v>44218</v>
      </c>
      <c r="B17" s="6">
        <v>45.25</v>
      </c>
      <c r="C17" s="6">
        <v>62.04</v>
      </c>
      <c r="D17" s="6">
        <v>76.72</v>
      </c>
      <c r="E17" s="6">
        <f>_xlfn.XLOOKUP(A17,'[1]Price History'!$A$3:$A$946,'[1]Price History'!$K$3:$K$946)</f>
        <v>89.97</v>
      </c>
      <c r="F17" s="6">
        <v>72.959999999999994</v>
      </c>
    </row>
    <row r="18" spans="1:6" x14ac:dyDescent="0.3">
      <c r="A18" s="2">
        <v>44221</v>
      </c>
      <c r="B18" s="6">
        <v>45.25</v>
      </c>
      <c r="C18" s="6">
        <v>62.04</v>
      </c>
      <c r="D18" s="6">
        <v>76.72</v>
      </c>
      <c r="E18" s="6">
        <f>E17</f>
        <v>89.97</v>
      </c>
      <c r="F18" s="6">
        <v>72.959999999999994</v>
      </c>
    </row>
    <row r="19" spans="1:6" x14ac:dyDescent="0.3">
      <c r="A19" s="3">
        <v>44222</v>
      </c>
      <c r="B19" s="6">
        <v>45.25</v>
      </c>
      <c r="C19" s="6">
        <v>62.04</v>
      </c>
      <c r="D19" s="6">
        <v>76.72</v>
      </c>
      <c r="E19" s="6">
        <f>E18</f>
        <v>89.97</v>
      </c>
      <c r="F19" s="6">
        <v>72.959999999999994</v>
      </c>
    </row>
    <row r="20" spans="1:6" x14ac:dyDescent="0.3">
      <c r="A20" s="2">
        <v>44223</v>
      </c>
      <c r="B20" s="6">
        <v>45.25</v>
      </c>
      <c r="C20" s="6">
        <v>62.04</v>
      </c>
      <c r="D20" s="6">
        <v>76.72</v>
      </c>
      <c r="E20" s="6">
        <f>E19</f>
        <v>89.97</v>
      </c>
      <c r="F20" s="6">
        <v>72.959999999999994</v>
      </c>
    </row>
    <row r="21" spans="1:6" x14ac:dyDescent="0.3">
      <c r="A21" s="3">
        <v>44224</v>
      </c>
      <c r="B21" s="6">
        <v>45.25</v>
      </c>
      <c r="C21" s="6">
        <v>62.04</v>
      </c>
      <c r="D21" s="6">
        <v>76.72</v>
      </c>
      <c r="E21" s="6">
        <f>E20</f>
        <v>89.97</v>
      </c>
      <c r="F21" s="6">
        <v>72.959999999999994</v>
      </c>
    </row>
    <row r="22" spans="1:6" x14ac:dyDescent="0.3">
      <c r="A22" s="2">
        <v>44225</v>
      </c>
      <c r="B22" s="6">
        <v>45.53</v>
      </c>
      <c r="C22" s="6">
        <v>62.85</v>
      </c>
      <c r="D22" s="6">
        <v>77.12</v>
      </c>
      <c r="E22" s="6">
        <f>_xlfn.XLOOKUP(A22,'[1]Price History'!$A$3:$A$946,'[1]Price History'!$K$3:$K$946)</f>
        <v>87.76</v>
      </c>
      <c r="F22" s="6">
        <v>71.34</v>
      </c>
    </row>
    <row r="23" spans="1:6" x14ac:dyDescent="0.3">
      <c r="A23" s="3">
        <v>44228</v>
      </c>
      <c r="B23" s="6">
        <v>45.53</v>
      </c>
      <c r="C23" s="6">
        <v>62.85</v>
      </c>
      <c r="D23" s="6">
        <v>77.12</v>
      </c>
      <c r="E23" s="6">
        <f>E22</f>
        <v>87.76</v>
      </c>
      <c r="F23" s="6">
        <v>71.34</v>
      </c>
    </row>
    <row r="24" spans="1:6" x14ac:dyDescent="0.3">
      <c r="A24" s="2">
        <v>44229</v>
      </c>
      <c r="B24" s="6">
        <v>45.53</v>
      </c>
      <c r="C24" s="6">
        <v>62.85</v>
      </c>
      <c r="D24" s="6">
        <v>77.12</v>
      </c>
      <c r="E24" s="6">
        <f>E23</f>
        <v>87.76</v>
      </c>
      <c r="F24" s="6">
        <v>71.34</v>
      </c>
    </row>
    <row r="25" spans="1:6" x14ac:dyDescent="0.3">
      <c r="A25" s="3">
        <v>44230</v>
      </c>
      <c r="B25" s="6">
        <v>45.53</v>
      </c>
      <c r="C25" s="6">
        <v>62.85</v>
      </c>
      <c r="D25" s="6">
        <v>77.12</v>
      </c>
      <c r="E25" s="6">
        <f>E24</f>
        <v>87.76</v>
      </c>
      <c r="F25" s="6">
        <v>71.34</v>
      </c>
    </row>
    <row r="26" spans="1:6" x14ac:dyDescent="0.3">
      <c r="A26" s="2">
        <v>44231</v>
      </c>
      <c r="B26" s="6">
        <v>45.53</v>
      </c>
      <c r="C26" s="6">
        <v>62.85</v>
      </c>
      <c r="D26" s="6">
        <v>77.12</v>
      </c>
      <c r="E26" s="6">
        <f>E25</f>
        <v>87.76</v>
      </c>
      <c r="F26" s="6">
        <v>71.34</v>
      </c>
    </row>
    <row r="27" spans="1:6" x14ac:dyDescent="0.3">
      <c r="A27" s="3">
        <v>44232</v>
      </c>
      <c r="B27" s="6">
        <v>43.02</v>
      </c>
      <c r="C27" s="6">
        <v>60.88</v>
      </c>
      <c r="D27" s="6">
        <v>74.72</v>
      </c>
      <c r="E27" s="6">
        <f>_xlfn.XLOOKUP(A27,'[1]Price History'!$A$3:$A$946,'[1]Price History'!$K$3:$K$946)</f>
        <v>83.95</v>
      </c>
      <c r="F27" s="6">
        <v>70.010000000000005</v>
      </c>
    </row>
    <row r="28" spans="1:6" x14ac:dyDescent="0.3">
      <c r="A28" s="2">
        <v>44235</v>
      </c>
      <c r="B28" s="6">
        <v>43.02</v>
      </c>
      <c r="C28" s="6">
        <v>60.88</v>
      </c>
      <c r="D28" s="6">
        <v>74.72</v>
      </c>
      <c r="E28" s="6">
        <f>E27</f>
        <v>83.95</v>
      </c>
      <c r="F28" s="6">
        <v>70.010000000000005</v>
      </c>
    </row>
    <row r="29" spans="1:6" x14ac:dyDescent="0.3">
      <c r="A29" s="3">
        <v>44236</v>
      </c>
      <c r="B29" s="6">
        <v>43.02</v>
      </c>
      <c r="C29" s="6">
        <v>60.88</v>
      </c>
      <c r="D29" s="6">
        <v>74.72</v>
      </c>
      <c r="E29" s="6">
        <f>E28</f>
        <v>83.95</v>
      </c>
      <c r="F29" s="6">
        <v>70.010000000000005</v>
      </c>
    </row>
    <row r="30" spans="1:6" x14ac:dyDescent="0.3">
      <c r="A30" s="2">
        <v>44237</v>
      </c>
      <c r="B30" s="6">
        <v>43.02</v>
      </c>
      <c r="C30" s="6">
        <v>60.88</v>
      </c>
      <c r="D30" s="6">
        <v>74.72</v>
      </c>
      <c r="E30" s="6">
        <f>E29</f>
        <v>83.95</v>
      </c>
      <c r="F30" s="6">
        <v>70.010000000000005</v>
      </c>
    </row>
    <row r="31" spans="1:6" x14ac:dyDescent="0.3">
      <c r="A31" s="3">
        <v>44238</v>
      </c>
      <c r="B31" s="6">
        <v>43.02</v>
      </c>
      <c r="C31" s="6">
        <v>60.88</v>
      </c>
      <c r="D31" s="6">
        <v>74.72</v>
      </c>
      <c r="E31" s="6">
        <f>E30</f>
        <v>83.95</v>
      </c>
      <c r="F31" s="6">
        <v>70.010000000000005</v>
      </c>
    </row>
    <row r="32" spans="1:6" x14ac:dyDescent="0.3">
      <c r="A32" s="2">
        <v>44239</v>
      </c>
      <c r="B32" s="6">
        <v>46.13</v>
      </c>
      <c r="C32" s="6">
        <v>64.23</v>
      </c>
      <c r="D32" s="6">
        <v>78.89</v>
      </c>
      <c r="E32" s="6">
        <f>_xlfn.XLOOKUP(A32,'[1]Price History'!$A$3:$A$946,'[1]Price History'!$K$3:$K$946)</f>
        <v>90.18</v>
      </c>
      <c r="F32" s="6">
        <v>73.09</v>
      </c>
    </row>
    <row r="33" spans="1:6" x14ac:dyDescent="0.3">
      <c r="A33" s="3">
        <v>44242</v>
      </c>
      <c r="B33" s="6">
        <v>46.13</v>
      </c>
      <c r="C33" s="6">
        <v>64.23</v>
      </c>
      <c r="D33" s="6">
        <v>78.89</v>
      </c>
      <c r="E33" s="6">
        <f>E32</f>
        <v>90.18</v>
      </c>
      <c r="F33" s="6">
        <v>73.09</v>
      </c>
    </row>
    <row r="34" spans="1:6" x14ac:dyDescent="0.3">
      <c r="A34" s="2">
        <v>44243</v>
      </c>
      <c r="B34" s="6">
        <v>46.13</v>
      </c>
      <c r="C34" s="6">
        <v>64.23</v>
      </c>
      <c r="D34" s="6">
        <v>78.89</v>
      </c>
      <c r="E34" s="6">
        <f>E33</f>
        <v>90.18</v>
      </c>
      <c r="F34" s="6">
        <v>73.09</v>
      </c>
    </row>
    <row r="35" spans="1:6" x14ac:dyDescent="0.3">
      <c r="A35" s="3">
        <v>44244</v>
      </c>
      <c r="B35" s="6">
        <v>46.13</v>
      </c>
      <c r="C35" s="6">
        <v>64.23</v>
      </c>
      <c r="D35" s="6">
        <v>78.89</v>
      </c>
      <c r="E35" s="6">
        <f>E34</f>
        <v>90.18</v>
      </c>
      <c r="F35" s="6">
        <v>73.09</v>
      </c>
    </row>
    <row r="36" spans="1:6" x14ac:dyDescent="0.3">
      <c r="A36" s="2">
        <v>44245</v>
      </c>
      <c r="B36" s="6">
        <v>46.13</v>
      </c>
      <c r="C36" s="6">
        <v>64.23</v>
      </c>
      <c r="D36" s="6">
        <v>78.89</v>
      </c>
      <c r="E36" s="6">
        <f>E35</f>
        <v>90.18</v>
      </c>
      <c r="F36" s="6">
        <v>73.09</v>
      </c>
    </row>
    <row r="37" spans="1:6" x14ac:dyDescent="0.3">
      <c r="A37" s="3">
        <v>44246</v>
      </c>
      <c r="B37" s="6">
        <v>45.36</v>
      </c>
      <c r="C37" s="6">
        <v>62.33</v>
      </c>
      <c r="D37" s="6">
        <v>76.59</v>
      </c>
      <c r="E37" s="6">
        <f>_xlfn.XLOOKUP(A37,'[1]Price History'!$A$3:$A$946,'[1]Price History'!$K$3:$K$946)</f>
        <v>89.3</v>
      </c>
      <c r="F37" s="6">
        <v>79</v>
      </c>
    </row>
    <row r="38" spans="1:6" x14ac:dyDescent="0.3">
      <c r="A38" s="2">
        <v>44249</v>
      </c>
      <c r="B38" s="6">
        <v>45.36</v>
      </c>
      <c r="C38" s="6">
        <v>62.33</v>
      </c>
      <c r="D38" s="6">
        <v>76.59</v>
      </c>
      <c r="E38" s="6">
        <f>E37</f>
        <v>89.3</v>
      </c>
      <c r="F38" s="6">
        <v>79</v>
      </c>
    </row>
    <row r="39" spans="1:6" x14ac:dyDescent="0.3">
      <c r="A39" s="3">
        <v>44250</v>
      </c>
      <c r="B39" s="6">
        <v>45.36</v>
      </c>
      <c r="C39" s="6">
        <v>62.33</v>
      </c>
      <c r="D39" s="6">
        <v>76.59</v>
      </c>
      <c r="E39" s="6">
        <f>E38</f>
        <v>89.3</v>
      </c>
      <c r="F39" s="6">
        <v>79</v>
      </c>
    </row>
    <row r="40" spans="1:6" x14ac:dyDescent="0.3">
      <c r="A40" s="2">
        <v>44251</v>
      </c>
      <c r="B40" s="6">
        <v>45.36</v>
      </c>
      <c r="C40" s="6">
        <v>62.33</v>
      </c>
      <c r="D40" s="6">
        <v>76.59</v>
      </c>
      <c r="E40" s="6">
        <f>E39</f>
        <v>89.3</v>
      </c>
      <c r="F40" s="6">
        <v>79</v>
      </c>
    </row>
    <row r="41" spans="1:6" x14ac:dyDescent="0.3">
      <c r="A41" s="3">
        <v>44252</v>
      </c>
      <c r="B41" s="6">
        <v>45.36</v>
      </c>
      <c r="C41" s="6">
        <v>62.33</v>
      </c>
      <c r="D41" s="6">
        <v>76.59</v>
      </c>
      <c r="E41" s="6">
        <f>E40</f>
        <v>89.3</v>
      </c>
      <c r="F41" s="6">
        <v>79</v>
      </c>
    </row>
    <row r="42" spans="1:6" x14ac:dyDescent="0.3">
      <c r="A42" s="2">
        <v>44253</v>
      </c>
      <c r="B42" s="6">
        <v>44.5</v>
      </c>
      <c r="C42" s="6">
        <v>60.84</v>
      </c>
      <c r="D42" s="6">
        <v>75.25</v>
      </c>
      <c r="E42" s="6">
        <f>_xlfn.XLOOKUP(A42,'[1]Price History'!$A$3:$A$946,'[1]Price History'!$K$3:$K$946)</f>
        <v>85.6</v>
      </c>
      <c r="F42" s="6">
        <v>74.069999999999993</v>
      </c>
    </row>
    <row r="43" spans="1:6" x14ac:dyDescent="0.3">
      <c r="A43" s="3">
        <v>44256</v>
      </c>
      <c r="B43" s="6">
        <v>44.5</v>
      </c>
      <c r="C43" s="6">
        <v>60.84</v>
      </c>
      <c r="D43" s="6">
        <v>75.25</v>
      </c>
      <c r="E43" s="6">
        <f>E42</f>
        <v>85.6</v>
      </c>
      <c r="F43" s="6">
        <v>74.069999999999993</v>
      </c>
    </row>
    <row r="44" spans="1:6" x14ac:dyDescent="0.3">
      <c r="A44" s="2">
        <v>44257</v>
      </c>
      <c r="B44" s="6">
        <v>44.5</v>
      </c>
      <c r="C44" s="6">
        <v>60.84</v>
      </c>
      <c r="D44" s="6">
        <v>75.25</v>
      </c>
      <c r="E44" s="6">
        <f>E43</f>
        <v>85.6</v>
      </c>
      <c r="F44" s="6">
        <v>74.069999999999993</v>
      </c>
    </row>
    <row r="45" spans="1:6" x14ac:dyDescent="0.3">
      <c r="A45" s="3">
        <v>44258</v>
      </c>
      <c r="B45" s="6">
        <v>44.5</v>
      </c>
      <c r="C45" s="6">
        <v>60.84</v>
      </c>
      <c r="D45" s="6">
        <v>75.25</v>
      </c>
      <c r="E45" s="6">
        <f>E44</f>
        <v>85.6</v>
      </c>
      <c r="F45" s="6">
        <v>74.069999999999993</v>
      </c>
    </row>
    <row r="46" spans="1:6" x14ac:dyDescent="0.3">
      <c r="A46" s="2">
        <v>44259</v>
      </c>
      <c r="B46" s="6">
        <v>44.5</v>
      </c>
      <c r="C46" s="6">
        <v>60.84</v>
      </c>
      <c r="D46" s="6">
        <v>75.25</v>
      </c>
      <c r="E46" s="6">
        <f>E45</f>
        <v>85.6</v>
      </c>
      <c r="F46" s="6">
        <v>74.069999999999993</v>
      </c>
    </row>
    <row r="47" spans="1:6" x14ac:dyDescent="0.3">
      <c r="A47" s="3">
        <v>44260</v>
      </c>
      <c r="B47" s="6">
        <v>45.75</v>
      </c>
      <c r="C47" s="6">
        <v>62.25</v>
      </c>
      <c r="D47" s="6">
        <v>77.27</v>
      </c>
      <c r="E47" s="6">
        <f>_xlfn.XLOOKUP(A47,'[1]Price History'!$A$3:$A$946,'[1]Price History'!$K$3:$K$946)</f>
        <v>90.96</v>
      </c>
      <c r="F47" s="6">
        <v>76.739999999999995</v>
      </c>
    </row>
    <row r="48" spans="1:6" x14ac:dyDescent="0.3">
      <c r="A48" s="2">
        <v>44263</v>
      </c>
      <c r="B48" s="6">
        <v>45.75</v>
      </c>
      <c r="C48" s="6">
        <v>62.25</v>
      </c>
      <c r="D48" s="6">
        <v>77.27</v>
      </c>
      <c r="E48" s="6">
        <f>E47</f>
        <v>90.96</v>
      </c>
      <c r="F48" s="6">
        <v>76.739999999999995</v>
      </c>
    </row>
    <row r="49" spans="1:6" x14ac:dyDescent="0.3">
      <c r="A49" s="3">
        <v>44264</v>
      </c>
      <c r="B49" s="6">
        <v>45.75</v>
      </c>
      <c r="C49" s="6">
        <v>62.25</v>
      </c>
      <c r="D49" s="6">
        <v>77.27</v>
      </c>
      <c r="E49" s="6">
        <f>E48</f>
        <v>90.96</v>
      </c>
      <c r="F49" s="6">
        <v>76.739999999999995</v>
      </c>
    </row>
    <row r="50" spans="1:6" x14ac:dyDescent="0.3">
      <c r="A50" s="2">
        <v>44265</v>
      </c>
      <c r="B50" s="6">
        <v>45.75</v>
      </c>
      <c r="C50" s="6">
        <v>62.25</v>
      </c>
      <c r="D50" s="6">
        <v>77.27</v>
      </c>
      <c r="E50" s="6">
        <f>E49</f>
        <v>90.96</v>
      </c>
      <c r="F50" s="6">
        <v>76.739999999999995</v>
      </c>
    </row>
    <row r="51" spans="1:6" x14ac:dyDescent="0.3">
      <c r="A51" s="3">
        <v>44266</v>
      </c>
      <c r="B51" s="6">
        <v>45.75</v>
      </c>
      <c r="C51" s="6">
        <v>62.25</v>
      </c>
      <c r="D51" s="6">
        <v>77.27</v>
      </c>
      <c r="E51" s="6">
        <f>E50</f>
        <v>90.96</v>
      </c>
      <c r="F51" s="6">
        <v>76.739999999999995</v>
      </c>
    </row>
    <row r="52" spans="1:6" x14ac:dyDescent="0.3">
      <c r="A52" s="2">
        <v>44267</v>
      </c>
      <c r="B52" s="6">
        <v>45.37</v>
      </c>
      <c r="C52" s="6">
        <v>62.48</v>
      </c>
      <c r="D52" s="6">
        <v>77.66</v>
      </c>
      <c r="E52" s="6">
        <f>_xlfn.XLOOKUP(A52,'[1]Price History'!$A$3:$A$946,'[1]Price History'!$K$3:$K$946)</f>
        <v>91.56</v>
      </c>
      <c r="F52" s="6">
        <v>77.040000000000006</v>
      </c>
    </row>
    <row r="53" spans="1:6" x14ac:dyDescent="0.3">
      <c r="A53" s="3">
        <v>44270</v>
      </c>
      <c r="B53" s="6">
        <v>45.37</v>
      </c>
      <c r="C53" s="6">
        <v>62.48</v>
      </c>
      <c r="D53" s="6">
        <v>77.66</v>
      </c>
      <c r="E53" s="6">
        <f>E52</f>
        <v>91.56</v>
      </c>
      <c r="F53" s="6">
        <v>77.040000000000006</v>
      </c>
    </row>
    <row r="54" spans="1:6" x14ac:dyDescent="0.3">
      <c r="A54" s="2">
        <v>44271</v>
      </c>
      <c r="B54" s="6">
        <v>45.37</v>
      </c>
      <c r="C54" s="6">
        <v>62.48</v>
      </c>
      <c r="D54" s="6">
        <v>77.66</v>
      </c>
      <c r="E54" s="6">
        <f>E53</f>
        <v>91.56</v>
      </c>
      <c r="F54" s="6">
        <v>77.040000000000006</v>
      </c>
    </row>
    <row r="55" spans="1:6" x14ac:dyDescent="0.3">
      <c r="A55" s="3">
        <v>44272</v>
      </c>
      <c r="B55" s="6">
        <v>45.37</v>
      </c>
      <c r="C55" s="6">
        <v>62.48</v>
      </c>
      <c r="D55" s="6">
        <v>77.66</v>
      </c>
      <c r="E55" s="6">
        <f>E54</f>
        <v>91.56</v>
      </c>
      <c r="F55" s="6">
        <v>77.040000000000006</v>
      </c>
    </row>
    <row r="56" spans="1:6" x14ac:dyDescent="0.3">
      <c r="A56" s="2">
        <v>44273</v>
      </c>
      <c r="B56" s="6">
        <v>45.37</v>
      </c>
      <c r="C56" s="6">
        <v>62.48</v>
      </c>
      <c r="D56" s="6">
        <v>77.66</v>
      </c>
      <c r="E56" s="6">
        <f>E55</f>
        <v>91.56</v>
      </c>
      <c r="F56" s="6">
        <v>77.040000000000006</v>
      </c>
    </row>
    <row r="57" spans="1:6" x14ac:dyDescent="0.3">
      <c r="A57" s="3">
        <v>44274</v>
      </c>
      <c r="B57" s="6">
        <v>50.48</v>
      </c>
      <c r="C57" s="6">
        <v>67.69</v>
      </c>
      <c r="D57" s="6">
        <v>83.4</v>
      </c>
      <c r="E57" s="6">
        <f>_xlfn.XLOOKUP(A57,'[1]Price History'!$A$3:$A$946,'[1]Price History'!$K$3:$K$946)</f>
        <v>96.48</v>
      </c>
      <c r="F57" s="6">
        <v>80.22</v>
      </c>
    </row>
    <row r="58" spans="1:6" x14ac:dyDescent="0.3">
      <c r="A58" s="2">
        <v>44277</v>
      </c>
      <c r="B58" s="6">
        <v>50.48</v>
      </c>
      <c r="C58" s="6">
        <v>67.69</v>
      </c>
      <c r="D58" s="6">
        <v>83.4</v>
      </c>
      <c r="E58" s="6">
        <f>E57</f>
        <v>96.48</v>
      </c>
      <c r="F58" s="6">
        <v>80.22</v>
      </c>
    </row>
    <row r="59" spans="1:6" x14ac:dyDescent="0.3">
      <c r="A59" s="3">
        <v>44278</v>
      </c>
      <c r="B59" s="6">
        <v>50.48</v>
      </c>
      <c r="C59" s="6">
        <v>67.69</v>
      </c>
      <c r="D59" s="6">
        <v>83.4</v>
      </c>
      <c r="E59" s="6">
        <f>E58</f>
        <v>96.48</v>
      </c>
      <c r="F59" s="6">
        <v>80.22</v>
      </c>
    </row>
    <row r="60" spans="1:6" x14ac:dyDescent="0.3">
      <c r="A60" s="2">
        <v>44279</v>
      </c>
      <c r="B60" s="6">
        <v>50.48</v>
      </c>
      <c r="C60" s="6">
        <v>67.69</v>
      </c>
      <c r="D60" s="6">
        <v>83.4</v>
      </c>
      <c r="E60" s="6">
        <f>E59</f>
        <v>96.48</v>
      </c>
      <c r="F60" s="6">
        <v>80.22</v>
      </c>
    </row>
    <row r="61" spans="1:6" x14ac:dyDescent="0.3">
      <c r="A61" s="3">
        <v>44280</v>
      </c>
      <c r="B61" s="6">
        <v>50.48</v>
      </c>
      <c r="C61" s="6">
        <v>67.69</v>
      </c>
      <c r="D61" s="6">
        <v>83.4</v>
      </c>
      <c r="E61" s="6">
        <f>E60</f>
        <v>96.48</v>
      </c>
      <c r="F61" s="6">
        <v>80.22</v>
      </c>
    </row>
    <row r="62" spans="1:6" x14ac:dyDescent="0.3">
      <c r="A62" s="2">
        <v>44281</v>
      </c>
      <c r="B62" s="6">
        <v>49.07</v>
      </c>
      <c r="C62" s="6">
        <v>72.39</v>
      </c>
      <c r="D62" s="6">
        <v>87.65</v>
      </c>
      <c r="E62" s="6">
        <f>_xlfn.XLOOKUP(A62,'[1]Price History'!$A$3:$A$946,'[1]Price History'!$K$3:$K$946)</f>
        <v>100.1</v>
      </c>
      <c r="F62" s="6">
        <v>81.08</v>
      </c>
    </row>
    <row r="63" spans="1:6" x14ac:dyDescent="0.3">
      <c r="A63" s="3">
        <v>44284</v>
      </c>
      <c r="B63" s="6">
        <v>49.07</v>
      </c>
      <c r="C63" s="6">
        <v>72.39</v>
      </c>
      <c r="D63" s="6">
        <v>87.65</v>
      </c>
      <c r="E63" s="6">
        <f>E62</f>
        <v>100.1</v>
      </c>
      <c r="F63" s="6">
        <v>81.08</v>
      </c>
    </row>
    <row r="64" spans="1:6" x14ac:dyDescent="0.3">
      <c r="A64" s="2">
        <v>44285</v>
      </c>
      <c r="B64" s="6">
        <v>49.07</v>
      </c>
      <c r="C64" s="6">
        <v>72.39</v>
      </c>
      <c r="D64" s="6">
        <v>87.65</v>
      </c>
      <c r="E64" s="6">
        <f>E63</f>
        <v>100.1</v>
      </c>
      <c r="F64" s="6">
        <v>81.08</v>
      </c>
    </row>
    <row r="65" spans="1:6" x14ac:dyDescent="0.3">
      <c r="A65" s="3">
        <v>44286</v>
      </c>
      <c r="B65" s="6">
        <v>49.07</v>
      </c>
      <c r="C65" s="6">
        <v>72.39</v>
      </c>
      <c r="D65" s="6">
        <v>87.65</v>
      </c>
      <c r="E65" s="6">
        <f>E64</f>
        <v>100.1</v>
      </c>
      <c r="F65" s="6">
        <v>81.08</v>
      </c>
    </row>
    <row r="66" spans="1:6" x14ac:dyDescent="0.3">
      <c r="A66" s="2">
        <v>44287</v>
      </c>
      <c r="B66" s="6">
        <v>50.24</v>
      </c>
      <c r="C66" s="6">
        <v>67.319999999999993</v>
      </c>
      <c r="D66" s="6">
        <v>82.07</v>
      </c>
      <c r="E66" s="6">
        <f>_xlfn.XLOOKUP(A66,'[1]Price History'!$A$3:$A$946,'[1]Price History'!$K$3:$K$946)</f>
        <v>96.6</v>
      </c>
      <c r="F66" s="6">
        <v>81.41</v>
      </c>
    </row>
    <row r="67" spans="1:6" x14ac:dyDescent="0.3">
      <c r="A67" s="3">
        <v>44291</v>
      </c>
      <c r="B67" s="6"/>
      <c r="C67" s="6"/>
      <c r="D67" s="6"/>
      <c r="E67" s="6">
        <f>E66</f>
        <v>96.6</v>
      </c>
      <c r="F67" s="6"/>
    </row>
    <row r="68" spans="1:6" x14ac:dyDescent="0.3">
      <c r="A68" s="2">
        <v>44292</v>
      </c>
      <c r="B68" s="6">
        <v>50.24</v>
      </c>
      <c r="C68" s="6">
        <v>67.319999999999993</v>
      </c>
      <c r="D68" s="6">
        <v>82.07</v>
      </c>
      <c r="E68" s="6">
        <f>E67</f>
        <v>96.6</v>
      </c>
      <c r="F68" s="6">
        <v>81.41</v>
      </c>
    </row>
    <row r="69" spans="1:6" x14ac:dyDescent="0.3">
      <c r="A69" s="3">
        <v>44293</v>
      </c>
      <c r="B69" s="6">
        <v>50.24</v>
      </c>
      <c r="C69" s="6">
        <v>67.319999999999993</v>
      </c>
      <c r="D69" s="6">
        <v>82.07</v>
      </c>
      <c r="E69" s="6">
        <f>E68</f>
        <v>96.6</v>
      </c>
      <c r="F69" s="6">
        <v>81.41</v>
      </c>
    </row>
    <row r="70" spans="1:6" x14ac:dyDescent="0.3">
      <c r="A70" s="2">
        <v>44294</v>
      </c>
      <c r="B70" s="6">
        <v>50.24</v>
      </c>
      <c r="C70" s="6">
        <v>67.319999999999993</v>
      </c>
      <c r="D70" s="6">
        <v>82.07</v>
      </c>
      <c r="E70" s="6">
        <f>E69</f>
        <v>96.6</v>
      </c>
      <c r="F70" s="6">
        <v>81.41</v>
      </c>
    </row>
    <row r="71" spans="1:6" x14ac:dyDescent="0.3">
      <c r="A71" s="3">
        <v>44295</v>
      </c>
      <c r="B71" s="6">
        <v>49.82</v>
      </c>
      <c r="C71" s="6">
        <v>67.88</v>
      </c>
      <c r="D71" s="6">
        <v>82.89</v>
      </c>
      <c r="E71" s="6">
        <f>_xlfn.XLOOKUP(A71,'[1]Price History'!$A$3:$A$946,'[1]Price History'!$K$3:$K$946)</f>
        <v>95.95</v>
      </c>
      <c r="F71" s="6">
        <v>81.99</v>
      </c>
    </row>
    <row r="72" spans="1:6" x14ac:dyDescent="0.3">
      <c r="A72" s="2">
        <v>44298</v>
      </c>
      <c r="B72" s="6">
        <v>49.82</v>
      </c>
      <c r="C72" s="6">
        <v>67.88</v>
      </c>
      <c r="D72" s="6">
        <v>82.89</v>
      </c>
      <c r="E72" s="6">
        <f>E71</f>
        <v>95.95</v>
      </c>
      <c r="F72" s="6">
        <v>81.99</v>
      </c>
    </row>
    <row r="73" spans="1:6" x14ac:dyDescent="0.3">
      <c r="A73" s="3">
        <v>44299</v>
      </c>
      <c r="B73" s="6">
        <v>49.82</v>
      </c>
      <c r="C73" s="6">
        <v>67.88</v>
      </c>
      <c r="D73" s="6">
        <v>82.89</v>
      </c>
      <c r="E73" s="6">
        <f>E72</f>
        <v>95.95</v>
      </c>
      <c r="F73" s="6">
        <v>81.99</v>
      </c>
    </row>
    <row r="74" spans="1:6" x14ac:dyDescent="0.3">
      <c r="A74" s="2">
        <v>44300</v>
      </c>
      <c r="B74" s="6">
        <v>49.82</v>
      </c>
      <c r="C74" s="6">
        <v>67.88</v>
      </c>
      <c r="D74" s="6">
        <v>82.89</v>
      </c>
      <c r="E74" s="6">
        <f>E73</f>
        <v>95.95</v>
      </c>
      <c r="F74" s="6">
        <v>81.99</v>
      </c>
    </row>
    <row r="75" spans="1:6" x14ac:dyDescent="0.3">
      <c r="A75" s="3">
        <v>44301</v>
      </c>
      <c r="B75" s="6">
        <v>49.82</v>
      </c>
      <c r="C75" s="6">
        <v>67.88</v>
      </c>
      <c r="D75" s="6">
        <v>82.89</v>
      </c>
      <c r="E75" s="6">
        <f>E74</f>
        <v>95.95</v>
      </c>
      <c r="F75" s="6">
        <v>81.99</v>
      </c>
    </row>
    <row r="76" spans="1:6" x14ac:dyDescent="0.3">
      <c r="A76" s="2">
        <v>44302</v>
      </c>
      <c r="B76" s="6">
        <v>48.63</v>
      </c>
      <c r="C76" s="6">
        <v>65.73</v>
      </c>
      <c r="D76" s="6">
        <v>82.91</v>
      </c>
      <c r="E76" s="6">
        <f>_xlfn.XLOOKUP(A76,'[1]Price History'!$A$3:$A$946,'[1]Price History'!$K$3:$K$946)</f>
        <v>89.92</v>
      </c>
      <c r="F76" s="6">
        <v>78.66</v>
      </c>
    </row>
    <row r="77" spans="1:6" x14ac:dyDescent="0.3">
      <c r="A77" s="3">
        <v>44305</v>
      </c>
      <c r="B77" s="6">
        <v>48.63</v>
      </c>
      <c r="C77" s="6">
        <v>65.73</v>
      </c>
      <c r="D77" s="6">
        <v>82.91</v>
      </c>
      <c r="E77" s="6">
        <f>E76</f>
        <v>89.92</v>
      </c>
      <c r="F77" s="6">
        <v>78.66</v>
      </c>
    </row>
    <row r="78" spans="1:6" x14ac:dyDescent="0.3">
      <c r="A78" s="2">
        <v>44306</v>
      </c>
      <c r="B78" s="6">
        <v>48.63</v>
      </c>
      <c r="C78" s="6">
        <v>65.73</v>
      </c>
      <c r="D78" s="6">
        <v>82.91</v>
      </c>
      <c r="E78" s="6">
        <f>E77</f>
        <v>89.92</v>
      </c>
      <c r="F78" s="6">
        <v>78.66</v>
      </c>
    </row>
    <row r="79" spans="1:6" x14ac:dyDescent="0.3">
      <c r="A79" s="3">
        <v>44307</v>
      </c>
      <c r="B79" s="6">
        <v>48.63</v>
      </c>
      <c r="C79" s="6">
        <v>65.73</v>
      </c>
      <c r="D79" s="6">
        <v>82.91</v>
      </c>
      <c r="E79" s="6">
        <f>E78</f>
        <v>89.92</v>
      </c>
      <c r="F79" s="6">
        <v>78.66</v>
      </c>
    </row>
    <row r="80" spans="1:6" x14ac:dyDescent="0.3">
      <c r="A80" s="2">
        <v>44308</v>
      </c>
      <c r="B80" s="6">
        <v>48.63</v>
      </c>
      <c r="C80" s="6">
        <v>65.73</v>
      </c>
      <c r="D80" s="6">
        <v>82.91</v>
      </c>
      <c r="E80" s="6">
        <f>E79</f>
        <v>89.92</v>
      </c>
      <c r="F80" s="6">
        <v>78.66</v>
      </c>
    </row>
    <row r="81" spans="1:6" x14ac:dyDescent="0.3">
      <c r="A81" s="3">
        <v>44309</v>
      </c>
      <c r="B81" s="6">
        <v>48.78</v>
      </c>
      <c r="C81" s="6">
        <v>65.599999999999994</v>
      </c>
      <c r="D81" s="6">
        <v>81.430000000000007</v>
      </c>
      <c r="E81" s="6">
        <f>_xlfn.XLOOKUP(A81,'[1]Price History'!$A$3:$A$946,'[1]Price History'!$K$3:$K$946)</f>
        <v>90.72</v>
      </c>
      <c r="F81" s="6">
        <v>82.38</v>
      </c>
    </row>
    <row r="82" spans="1:6" x14ac:dyDescent="0.3">
      <c r="A82" s="2">
        <v>44312</v>
      </c>
      <c r="B82" s="6">
        <v>48.78</v>
      </c>
      <c r="C82" s="6">
        <v>65.599999999999994</v>
      </c>
      <c r="D82" s="6">
        <v>81.430000000000007</v>
      </c>
      <c r="E82" s="6">
        <f>E81</f>
        <v>90.72</v>
      </c>
      <c r="F82" s="6">
        <v>82.38</v>
      </c>
    </row>
    <row r="83" spans="1:6" x14ac:dyDescent="0.3">
      <c r="A83" s="3">
        <v>44313</v>
      </c>
      <c r="B83" s="6">
        <v>48.78</v>
      </c>
      <c r="C83" s="6">
        <v>65.599999999999994</v>
      </c>
      <c r="D83" s="6">
        <v>81.430000000000007</v>
      </c>
      <c r="E83" s="6">
        <f>E82</f>
        <v>90.72</v>
      </c>
      <c r="F83" s="6">
        <v>82.38</v>
      </c>
    </row>
    <row r="84" spans="1:6" x14ac:dyDescent="0.3">
      <c r="A84" s="2">
        <v>44314</v>
      </c>
      <c r="B84" s="6">
        <v>48.78</v>
      </c>
      <c r="C84" s="6">
        <v>65.599999999999994</v>
      </c>
      <c r="D84" s="6">
        <v>81.430000000000007</v>
      </c>
      <c r="E84" s="6">
        <f>E83</f>
        <v>90.72</v>
      </c>
      <c r="F84" s="6">
        <v>82.38</v>
      </c>
    </row>
    <row r="85" spans="1:6" x14ac:dyDescent="0.3">
      <c r="A85" s="3">
        <v>44315</v>
      </c>
      <c r="B85" s="6">
        <v>48.78</v>
      </c>
      <c r="C85" s="6">
        <v>65.599999999999994</v>
      </c>
      <c r="D85" s="6">
        <v>81.430000000000007</v>
      </c>
      <c r="E85" s="6">
        <f>E84</f>
        <v>90.72</v>
      </c>
      <c r="F85" s="6">
        <v>82.38</v>
      </c>
    </row>
    <row r="86" spans="1:6" x14ac:dyDescent="0.3">
      <c r="A86" s="2">
        <v>44316</v>
      </c>
      <c r="B86" s="6">
        <v>47.25</v>
      </c>
      <c r="C86" s="6">
        <v>66.38</v>
      </c>
      <c r="D86" s="6">
        <v>81.81</v>
      </c>
      <c r="E86" s="6">
        <f>_xlfn.XLOOKUP(A86,'[1]Price History'!$A$3:$A$946,'[1]Price History'!$K$3:$K$946)</f>
        <v>93.14</v>
      </c>
      <c r="F86" s="6">
        <v>81.03</v>
      </c>
    </row>
    <row r="87" spans="1:6" x14ac:dyDescent="0.3">
      <c r="A87" s="3">
        <v>44319</v>
      </c>
      <c r="B87" s="6"/>
      <c r="C87" s="6"/>
      <c r="D87" s="6"/>
      <c r="E87" s="6">
        <f>E86</f>
        <v>93.14</v>
      </c>
      <c r="F87" s="6"/>
    </row>
    <row r="88" spans="1:6" x14ac:dyDescent="0.3">
      <c r="A88" s="2">
        <v>44320</v>
      </c>
      <c r="B88" s="6">
        <v>47.25</v>
      </c>
      <c r="C88" s="6">
        <v>66.38</v>
      </c>
      <c r="D88" s="6">
        <v>81.81</v>
      </c>
      <c r="E88" s="6">
        <f>E87</f>
        <v>93.14</v>
      </c>
      <c r="F88" s="6">
        <v>81.03</v>
      </c>
    </row>
    <row r="89" spans="1:6" x14ac:dyDescent="0.3">
      <c r="A89" s="3">
        <v>44321</v>
      </c>
      <c r="B89" s="6">
        <v>47.25</v>
      </c>
      <c r="C89" s="6">
        <v>66.38</v>
      </c>
      <c r="D89" s="6">
        <v>81.81</v>
      </c>
      <c r="E89" s="6">
        <f>E88</f>
        <v>93.14</v>
      </c>
      <c r="F89" s="6">
        <v>81.03</v>
      </c>
    </row>
    <row r="90" spans="1:6" x14ac:dyDescent="0.3">
      <c r="A90" s="2">
        <v>44322</v>
      </c>
      <c r="B90" s="6">
        <v>47.25</v>
      </c>
      <c r="C90" s="6">
        <v>66.38</v>
      </c>
      <c r="D90" s="6">
        <v>81.81</v>
      </c>
      <c r="E90" s="6">
        <f>E89</f>
        <v>93.14</v>
      </c>
      <c r="F90" s="6">
        <v>81.03</v>
      </c>
    </row>
    <row r="91" spans="1:6" x14ac:dyDescent="0.3">
      <c r="A91" s="3">
        <v>44323</v>
      </c>
      <c r="B91" s="6">
        <v>52.56</v>
      </c>
      <c r="C91" s="6">
        <v>70.27</v>
      </c>
      <c r="D91" s="6">
        <v>86.39</v>
      </c>
      <c r="E91" s="6">
        <f>_xlfn.XLOOKUP(A91,'[1]Price History'!$A$3:$A$946,'[1]Price History'!$K$3:$K$946)</f>
        <v>100.49</v>
      </c>
      <c r="F91" s="6">
        <v>84.03</v>
      </c>
    </row>
    <row r="92" spans="1:6" x14ac:dyDescent="0.3">
      <c r="A92" s="2">
        <v>44326</v>
      </c>
      <c r="B92" s="6">
        <v>52.56</v>
      </c>
      <c r="C92" s="6">
        <v>70.27</v>
      </c>
      <c r="D92" s="6">
        <v>86.39</v>
      </c>
      <c r="E92" s="6">
        <f>E91</f>
        <v>100.49</v>
      </c>
      <c r="F92" s="6">
        <v>84.03</v>
      </c>
    </row>
    <row r="93" spans="1:6" x14ac:dyDescent="0.3">
      <c r="A93" s="3">
        <v>44327</v>
      </c>
      <c r="B93" s="6">
        <v>52.56</v>
      </c>
      <c r="C93" s="6">
        <v>70.27</v>
      </c>
      <c r="D93" s="6">
        <v>86.39</v>
      </c>
      <c r="E93" s="6">
        <f>E92</f>
        <v>100.49</v>
      </c>
      <c r="F93" s="6">
        <v>84.03</v>
      </c>
    </row>
    <row r="94" spans="1:6" x14ac:dyDescent="0.3">
      <c r="A94" s="2">
        <v>44328</v>
      </c>
      <c r="B94" s="6">
        <v>52.56</v>
      </c>
      <c r="C94" s="6">
        <v>70.27</v>
      </c>
      <c r="D94" s="6">
        <v>86.39</v>
      </c>
      <c r="E94" s="6">
        <f>E93</f>
        <v>100.49</v>
      </c>
      <c r="F94" s="6">
        <v>84.03</v>
      </c>
    </row>
    <row r="95" spans="1:6" x14ac:dyDescent="0.3">
      <c r="A95" s="3">
        <v>44329</v>
      </c>
      <c r="B95" s="6">
        <v>52.56</v>
      </c>
      <c r="C95" s="6">
        <v>70.27</v>
      </c>
      <c r="D95" s="6">
        <v>86.39</v>
      </c>
      <c r="E95" s="6">
        <f>E94</f>
        <v>100.49</v>
      </c>
      <c r="F95" s="6">
        <v>84.03</v>
      </c>
    </row>
    <row r="96" spans="1:6" x14ac:dyDescent="0.3">
      <c r="A96" s="2">
        <v>44330</v>
      </c>
      <c r="B96" s="6">
        <v>55.17</v>
      </c>
      <c r="C96" s="6">
        <v>74.66</v>
      </c>
      <c r="D96" s="6">
        <v>93.04</v>
      </c>
      <c r="E96" s="6">
        <f>_xlfn.XLOOKUP(A96,'[1]Price History'!$A$3:$A$946,'[1]Price History'!$K$3:$K$946)</f>
        <v>103.85</v>
      </c>
      <c r="F96" s="6">
        <v>87.32</v>
      </c>
    </row>
    <row r="97" spans="1:6" x14ac:dyDescent="0.3">
      <c r="A97" s="3">
        <v>44333</v>
      </c>
      <c r="B97" s="6">
        <v>55.17</v>
      </c>
      <c r="C97" s="6">
        <v>74.66</v>
      </c>
      <c r="D97" s="6">
        <v>93.04</v>
      </c>
      <c r="E97" s="6">
        <f>E96</f>
        <v>103.85</v>
      </c>
      <c r="F97" s="6">
        <v>87.32</v>
      </c>
    </row>
    <row r="98" spans="1:6" x14ac:dyDescent="0.3">
      <c r="A98" s="2">
        <v>44334</v>
      </c>
      <c r="B98" s="6">
        <v>55.17</v>
      </c>
      <c r="C98" s="6">
        <v>74.66</v>
      </c>
      <c r="D98" s="6">
        <v>93.04</v>
      </c>
      <c r="E98" s="6">
        <f>E97</f>
        <v>103.85</v>
      </c>
      <c r="F98" s="6">
        <v>87.32</v>
      </c>
    </row>
    <row r="99" spans="1:6" x14ac:dyDescent="0.3">
      <c r="A99" s="3">
        <v>44335</v>
      </c>
      <c r="B99" s="6">
        <v>55.17</v>
      </c>
      <c r="C99" s="6">
        <v>74.66</v>
      </c>
      <c r="D99" s="6">
        <v>93.04</v>
      </c>
      <c r="E99" s="6">
        <f>E98</f>
        <v>103.85</v>
      </c>
      <c r="F99" s="6">
        <v>87.32</v>
      </c>
    </row>
    <row r="100" spans="1:6" x14ac:dyDescent="0.3">
      <c r="A100" s="2">
        <v>44336</v>
      </c>
      <c r="B100" s="6">
        <v>55.17</v>
      </c>
      <c r="C100" s="6">
        <v>74.66</v>
      </c>
      <c r="D100" s="6">
        <v>93.04</v>
      </c>
      <c r="E100" s="6">
        <f>E99</f>
        <v>103.85</v>
      </c>
      <c r="F100" s="6">
        <v>87.32</v>
      </c>
    </row>
    <row r="101" spans="1:6" x14ac:dyDescent="0.3">
      <c r="A101" s="3">
        <v>44337</v>
      </c>
      <c r="B101" s="6">
        <v>57.22</v>
      </c>
      <c r="C101" s="6">
        <v>76.72</v>
      </c>
      <c r="D101" s="6">
        <v>91.69</v>
      </c>
      <c r="E101" s="6">
        <f>_xlfn.XLOOKUP(A101,'[1]Price History'!$A$3:$A$946,'[1]Price History'!$K$3:$K$946)</f>
        <v>105.4</v>
      </c>
      <c r="F101" s="6">
        <v>88.39</v>
      </c>
    </row>
    <row r="102" spans="1:6" x14ac:dyDescent="0.3">
      <c r="A102" s="2">
        <v>44340</v>
      </c>
      <c r="B102" s="6">
        <v>57.22</v>
      </c>
      <c r="C102" s="6">
        <v>76.72</v>
      </c>
      <c r="D102" s="6">
        <v>91.69</v>
      </c>
      <c r="E102" s="6">
        <f>E101</f>
        <v>105.4</v>
      </c>
      <c r="F102" s="6">
        <v>88.39</v>
      </c>
    </row>
    <row r="103" spans="1:6" x14ac:dyDescent="0.3">
      <c r="A103" s="3">
        <v>44341</v>
      </c>
      <c r="B103" s="6">
        <v>57.22</v>
      </c>
      <c r="C103" s="6">
        <v>76.72</v>
      </c>
      <c r="D103" s="6">
        <v>91.69</v>
      </c>
      <c r="E103" s="6">
        <f>E102</f>
        <v>105.4</v>
      </c>
      <c r="F103" s="6">
        <v>88.39</v>
      </c>
    </row>
    <row r="104" spans="1:6" x14ac:dyDescent="0.3">
      <c r="A104" s="2">
        <v>44342</v>
      </c>
      <c r="B104" s="6">
        <v>57.22</v>
      </c>
      <c r="C104" s="6">
        <v>76.72</v>
      </c>
      <c r="D104" s="6">
        <v>91.69</v>
      </c>
      <c r="E104" s="6">
        <f>E103</f>
        <v>105.4</v>
      </c>
      <c r="F104" s="6">
        <v>88.39</v>
      </c>
    </row>
    <row r="105" spans="1:6" x14ac:dyDescent="0.3">
      <c r="A105" s="3">
        <v>44343</v>
      </c>
      <c r="B105" s="6">
        <v>57.22</v>
      </c>
      <c r="C105" s="6">
        <v>76.72</v>
      </c>
      <c r="D105" s="6">
        <v>91.69</v>
      </c>
      <c r="E105" s="6">
        <f>E104</f>
        <v>105.4</v>
      </c>
      <c r="F105" s="6">
        <v>88.39</v>
      </c>
    </row>
    <row r="106" spans="1:6" x14ac:dyDescent="0.3">
      <c r="A106" s="2">
        <v>44344</v>
      </c>
      <c r="B106" s="6">
        <v>59.18</v>
      </c>
      <c r="C106" s="6">
        <v>78.599999999999994</v>
      </c>
      <c r="D106" s="6">
        <v>94.65</v>
      </c>
      <c r="E106" s="6">
        <f>_xlfn.XLOOKUP(A106,'[1]Price History'!$A$3:$A$946,'[1]Price History'!$K$3:$K$946)</f>
        <v>112.1</v>
      </c>
      <c r="F106" s="6">
        <v>92.26</v>
      </c>
    </row>
    <row r="107" spans="1:6" x14ac:dyDescent="0.3">
      <c r="A107" s="3">
        <v>44347</v>
      </c>
      <c r="B107" s="6"/>
      <c r="C107" s="6"/>
      <c r="D107" s="6"/>
      <c r="E107" s="6">
        <f>E106</f>
        <v>112.1</v>
      </c>
      <c r="F107" s="6"/>
    </row>
    <row r="108" spans="1:6" x14ac:dyDescent="0.3">
      <c r="A108" s="2">
        <v>44348</v>
      </c>
      <c r="B108" s="6">
        <v>59.18</v>
      </c>
      <c r="C108" s="6">
        <v>78.599999999999994</v>
      </c>
      <c r="D108" s="6">
        <v>94.65</v>
      </c>
      <c r="E108" s="6">
        <f>E107</f>
        <v>112.1</v>
      </c>
      <c r="F108" s="6">
        <v>92.26</v>
      </c>
    </row>
    <row r="109" spans="1:6" x14ac:dyDescent="0.3">
      <c r="A109" s="3">
        <v>44349</v>
      </c>
      <c r="B109" s="6">
        <v>59.18</v>
      </c>
      <c r="C109" s="6">
        <v>78.599999999999994</v>
      </c>
      <c r="D109" s="6">
        <v>94.65</v>
      </c>
      <c r="E109" s="6">
        <f>E108</f>
        <v>112.1</v>
      </c>
      <c r="F109" s="6">
        <v>92.26</v>
      </c>
    </row>
    <row r="110" spans="1:6" x14ac:dyDescent="0.3">
      <c r="A110" s="2">
        <v>44350</v>
      </c>
      <c r="B110" s="6">
        <v>59.18</v>
      </c>
      <c r="C110" s="6">
        <v>78.599999999999994</v>
      </c>
      <c r="D110" s="6">
        <v>94.65</v>
      </c>
      <c r="E110" s="6">
        <f>E109</f>
        <v>112.1</v>
      </c>
      <c r="F110" s="6">
        <v>92.26</v>
      </c>
    </row>
    <row r="111" spans="1:6" x14ac:dyDescent="0.3">
      <c r="A111" s="3">
        <v>44351</v>
      </c>
      <c r="B111" s="6">
        <v>61.73</v>
      </c>
      <c r="C111" s="6">
        <v>82.33</v>
      </c>
      <c r="D111" s="6">
        <v>98.66</v>
      </c>
      <c r="E111" s="6">
        <f>_xlfn.XLOOKUP(A111,'[1]Price History'!$A$3:$A$946,'[1]Price History'!$K$3:$K$946)</f>
        <v>112.6</v>
      </c>
      <c r="F111" s="6">
        <v>96.44</v>
      </c>
    </row>
    <row r="112" spans="1:6" x14ac:dyDescent="0.3">
      <c r="A112" s="2">
        <v>44354</v>
      </c>
      <c r="B112" s="6">
        <v>61.73</v>
      </c>
      <c r="C112" s="6">
        <v>82.33</v>
      </c>
      <c r="D112" s="6">
        <v>98.66</v>
      </c>
      <c r="E112" s="6">
        <f>E111</f>
        <v>112.6</v>
      </c>
      <c r="F112" s="6">
        <v>96.44</v>
      </c>
    </row>
    <row r="113" spans="1:6" x14ac:dyDescent="0.3">
      <c r="A113" s="3">
        <v>44355</v>
      </c>
      <c r="B113" s="6">
        <v>61.73</v>
      </c>
      <c r="C113" s="6">
        <v>82.33</v>
      </c>
      <c r="D113" s="6">
        <v>98.66</v>
      </c>
      <c r="E113" s="6">
        <f>E112</f>
        <v>112.6</v>
      </c>
      <c r="F113" s="6">
        <v>96.44</v>
      </c>
    </row>
    <row r="114" spans="1:6" x14ac:dyDescent="0.3">
      <c r="A114" s="2">
        <v>44356</v>
      </c>
      <c r="B114" s="6">
        <v>61.73</v>
      </c>
      <c r="C114" s="6">
        <v>82.33</v>
      </c>
      <c r="D114" s="6">
        <v>98.66</v>
      </c>
      <c r="E114" s="6">
        <f>E113</f>
        <v>112.6</v>
      </c>
      <c r="F114" s="6">
        <v>96.44</v>
      </c>
    </row>
    <row r="115" spans="1:6" x14ac:dyDescent="0.3">
      <c r="A115" s="3">
        <v>44357</v>
      </c>
      <c r="B115" s="6">
        <v>61.73</v>
      </c>
      <c r="C115" s="6">
        <v>82.33</v>
      </c>
      <c r="D115" s="6">
        <v>98.66</v>
      </c>
      <c r="E115" s="6">
        <f>E114</f>
        <v>112.6</v>
      </c>
      <c r="F115" s="6">
        <v>96.44</v>
      </c>
    </row>
    <row r="116" spans="1:6" x14ac:dyDescent="0.3">
      <c r="A116" s="2">
        <v>44358</v>
      </c>
      <c r="B116" s="6">
        <v>66.44</v>
      </c>
      <c r="C116" s="6">
        <v>86.03</v>
      </c>
      <c r="D116" s="6">
        <v>101.82</v>
      </c>
      <c r="E116" s="6">
        <f>_xlfn.XLOOKUP(A116,'[1]Price History'!$A$3:$A$946,'[1]Price History'!$K$3:$K$946)</f>
        <v>117.59</v>
      </c>
      <c r="F116" s="6">
        <v>99.19</v>
      </c>
    </row>
    <row r="117" spans="1:6" x14ac:dyDescent="0.3">
      <c r="A117" s="3">
        <v>44361</v>
      </c>
      <c r="B117" s="6">
        <v>66.44</v>
      </c>
      <c r="C117" s="6">
        <v>86.03</v>
      </c>
      <c r="D117" s="6">
        <v>101.82</v>
      </c>
      <c r="E117" s="6">
        <f>E116</f>
        <v>117.59</v>
      </c>
      <c r="F117" s="6">
        <v>99.19</v>
      </c>
    </row>
    <row r="118" spans="1:6" x14ac:dyDescent="0.3">
      <c r="A118" s="2">
        <v>44362</v>
      </c>
      <c r="B118" s="6">
        <v>66.44</v>
      </c>
      <c r="C118" s="6">
        <v>86.03</v>
      </c>
      <c r="D118" s="6">
        <v>101.82</v>
      </c>
      <c r="E118" s="6">
        <f>E117</f>
        <v>117.59</v>
      </c>
      <c r="F118" s="6">
        <v>99.19</v>
      </c>
    </row>
    <row r="119" spans="1:6" x14ac:dyDescent="0.3">
      <c r="A119" s="3">
        <v>44363</v>
      </c>
      <c r="B119" s="6">
        <v>66.44</v>
      </c>
      <c r="C119" s="6">
        <v>86.03</v>
      </c>
      <c r="D119" s="6">
        <v>101.82</v>
      </c>
      <c r="E119" s="6">
        <f>E118</f>
        <v>117.59</v>
      </c>
      <c r="F119" s="6">
        <v>99.19</v>
      </c>
    </row>
    <row r="120" spans="1:6" x14ac:dyDescent="0.3">
      <c r="A120" s="2">
        <v>44364</v>
      </c>
      <c r="B120" s="6">
        <v>66.44</v>
      </c>
      <c r="C120" s="6">
        <v>86.03</v>
      </c>
      <c r="D120" s="6">
        <v>101.82</v>
      </c>
      <c r="E120" s="6">
        <f>E119</f>
        <v>117.59</v>
      </c>
      <c r="F120" s="6">
        <v>99.19</v>
      </c>
    </row>
    <row r="121" spans="1:6" x14ac:dyDescent="0.3">
      <c r="A121" s="3">
        <v>44365</v>
      </c>
      <c r="B121" s="6">
        <v>65.540000000000006</v>
      </c>
      <c r="C121" s="6">
        <v>86.48</v>
      </c>
      <c r="D121" s="6">
        <v>103.31</v>
      </c>
      <c r="E121" s="6">
        <f>_xlfn.XLOOKUP(A121,'[1]Price History'!$A$3:$A$946,'[1]Price History'!$K$3:$K$946)</f>
        <v>116.28</v>
      </c>
      <c r="F121" s="6">
        <v>102.04</v>
      </c>
    </row>
    <row r="122" spans="1:6" x14ac:dyDescent="0.3">
      <c r="A122" s="2">
        <v>44368</v>
      </c>
      <c r="B122" s="6">
        <v>65.540000000000006</v>
      </c>
      <c r="C122" s="6">
        <v>86.48</v>
      </c>
      <c r="D122" s="6">
        <v>103.31</v>
      </c>
      <c r="E122" s="6">
        <f>E121</f>
        <v>116.28</v>
      </c>
      <c r="F122" s="6">
        <v>102.04</v>
      </c>
    </row>
    <row r="123" spans="1:6" x14ac:dyDescent="0.3">
      <c r="A123" s="3">
        <v>44369</v>
      </c>
      <c r="B123" s="6">
        <v>65.540000000000006</v>
      </c>
      <c r="C123" s="6">
        <v>86.48</v>
      </c>
      <c r="D123" s="6">
        <v>103.31</v>
      </c>
      <c r="E123" s="6">
        <f>E122</f>
        <v>116.28</v>
      </c>
      <c r="F123" s="6">
        <v>102.04</v>
      </c>
    </row>
    <row r="124" spans="1:6" x14ac:dyDescent="0.3">
      <c r="A124" s="2">
        <v>44370</v>
      </c>
      <c r="B124" s="6">
        <v>65.540000000000006</v>
      </c>
      <c r="C124" s="6">
        <v>86.48</v>
      </c>
      <c r="D124" s="6">
        <v>103.31</v>
      </c>
      <c r="E124" s="6">
        <f>E123</f>
        <v>116.28</v>
      </c>
      <c r="F124" s="6">
        <v>102.04</v>
      </c>
    </row>
    <row r="125" spans="1:6" x14ac:dyDescent="0.3">
      <c r="A125" s="3">
        <v>44371</v>
      </c>
      <c r="B125" s="6">
        <v>65.540000000000006</v>
      </c>
      <c r="C125" s="6">
        <v>86.48</v>
      </c>
      <c r="D125" s="6">
        <v>103.31</v>
      </c>
      <c r="E125" s="6">
        <f>E124</f>
        <v>116.28</v>
      </c>
      <c r="F125" s="6">
        <v>102.04</v>
      </c>
    </row>
    <row r="126" spans="1:6" x14ac:dyDescent="0.3">
      <c r="A126" s="2">
        <v>44372</v>
      </c>
      <c r="B126" s="6">
        <v>68.08</v>
      </c>
      <c r="C126" s="6">
        <v>87.79</v>
      </c>
      <c r="D126" s="6">
        <v>105.41</v>
      </c>
      <c r="E126" s="6">
        <f>_xlfn.XLOOKUP(A126,'[1]Price History'!$A$3:$A$946,'[1]Price History'!$K$3:$K$946)</f>
        <v>115.27</v>
      </c>
      <c r="F126" s="6">
        <v>103.28</v>
      </c>
    </row>
    <row r="127" spans="1:6" x14ac:dyDescent="0.3">
      <c r="A127" s="3">
        <v>44375</v>
      </c>
      <c r="B127" s="6">
        <v>68.08</v>
      </c>
      <c r="C127" s="6">
        <v>87.79</v>
      </c>
      <c r="D127" s="6">
        <v>105.41</v>
      </c>
      <c r="E127" s="6">
        <f>E126</f>
        <v>115.27</v>
      </c>
      <c r="F127" s="6">
        <v>103.28</v>
      </c>
    </row>
    <row r="128" spans="1:6" x14ac:dyDescent="0.3">
      <c r="A128" s="2">
        <v>44376</v>
      </c>
      <c r="B128" s="6">
        <v>68.08</v>
      </c>
      <c r="C128" s="6">
        <v>87.79</v>
      </c>
      <c r="D128" s="6">
        <v>105.41</v>
      </c>
      <c r="E128" s="6">
        <f>E127</f>
        <v>115.27</v>
      </c>
      <c r="F128" s="6">
        <v>103.28</v>
      </c>
    </row>
    <row r="129" spans="1:6" x14ac:dyDescent="0.3">
      <c r="A129" s="3">
        <v>44377</v>
      </c>
      <c r="B129" s="6">
        <v>68.08</v>
      </c>
      <c r="C129" s="6">
        <v>87.79</v>
      </c>
      <c r="D129" s="6">
        <v>105.41</v>
      </c>
      <c r="E129" s="6">
        <f>E128</f>
        <v>115.27</v>
      </c>
      <c r="F129" s="6">
        <v>103.28</v>
      </c>
    </row>
    <row r="130" spans="1:6" x14ac:dyDescent="0.3">
      <c r="A130" s="2">
        <v>44378</v>
      </c>
      <c r="B130" s="6">
        <v>68.08</v>
      </c>
      <c r="C130" s="6">
        <v>87.79</v>
      </c>
      <c r="D130" s="6">
        <v>105.41</v>
      </c>
      <c r="E130" s="6">
        <f>E129</f>
        <v>115.27</v>
      </c>
      <c r="F130" s="6">
        <v>103.28</v>
      </c>
    </row>
    <row r="131" spans="1:6" x14ac:dyDescent="0.3">
      <c r="A131" s="3">
        <v>44379</v>
      </c>
      <c r="B131" s="6">
        <v>69</v>
      </c>
      <c r="C131" s="6">
        <v>89.18</v>
      </c>
      <c r="D131" s="6">
        <v>107.39</v>
      </c>
      <c r="E131" s="6">
        <f>_xlfn.XLOOKUP(A131,'[1]Price History'!$A$3:$A$946,'[1]Price History'!$K$3:$K$946)</f>
        <v>115.27</v>
      </c>
      <c r="F131" s="6">
        <v>105.45</v>
      </c>
    </row>
    <row r="132" spans="1:6" x14ac:dyDescent="0.3">
      <c r="A132" s="2">
        <v>44382</v>
      </c>
      <c r="B132" s="6">
        <v>69</v>
      </c>
      <c r="C132" s="6">
        <v>89.18</v>
      </c>
      <c r="D132" s="6">
        <v>107.39</v>
      </c>
      <c r="E132" s="6">
        <f>E131</f>
        <v>115.27</v>
      </c>
      <c r="F132" s="6">
        <v>105.45</v>
      </c>
    </row>
    <row r="133" spans="1:6" x14ac:dyDescent="0.3">
      <c r="A133" s="3">
        <v>44383</v>
      </c>
      <c r="B133" s="6">
        <v>69</v>
      </c>
      <c r="C133" s="6">
        <v>89.18</v>
      </c>
      <c r="D133" s="6">
        <v>107.39</v>
      </c>
      <c r="E133" s="6">
        <f>E132</f>
        <v>115.27</v>
      </c>
      <c r="F133" s="6">
        <v>105.45</v>
      </c>
    </row>
    <row r="134" spans="1:6" x14ac:dyDescent="0.3">
      <c r="A134" s="2">
        <v>44384</v>
      </c>
      <c r="B134" s="6">
        <v>69</v>
      </c>
      <c r="C134" s="6">
        <v>89.18</v>
      </c>
      <c r="D134" s="6">
        <v>107.39</v>
      </c>
      <c r="E134" s="6">
        <f>E133</f>
        <v>115.27</v>
      </c>
      <c r="F134" s="6">
        <v>105.45</v>
      </c>
    </row>
    <row r="135" spans="1:6" x14ac:dyDescent="0.3">
      <c r="A135" s="3">
        <v>44385</v>
      </c>
      <c r="B135" s="6">
        <v>69</v>
      </c>
      <c r="C135" s="6">
        <v>89.18</v>
      </c>
      <c r="D135" s="6">
        <v>107.39</v>
      </c>
      <c r="E135" s="6">
        <f>E134</f>
        <v>115.27</v>
      </c>
      <c r="F135" s="6">
        <v>105.45</v>
      </c>
    </row>
    <row r="136" spans="1:6" x14ac:dyDescent="0.3">
      <c r="A136" s="2">
        <v>44386</v>
      </c>
      <c r="B136" s="6">
        <v>69.59</v>
      </c>
      <c r="C136" s="6">
        <v>91.35</v>
      </c>
      <c r="D136" s="6">
        <v>108.93</v>
      </c>
      <c r="E136" s="6">
        <f>_xlfn.XLOOKUP(A136,'[1]Price History'!$A$3:$A$946,'[1]Price History'!$K$3:$K$946)</f>
        <v>116.79</v>
      </c>
      <c r="F136" s="6">
        <v>106.27</v>
      </c>
    </row>
    <row r="137" spans="1:6" x14ac:dyDescent="0.3">
      <c r="A137" s="3">
        <v>44389</v>
      </c>
      <c r="B137" s="6">
        <v>69.59</v>
      </c>
      <c r="C137" s="6">
        <v>91.35</v>
      </c>
      <c r="D137" s="6">
        <v>108.93</v>
      </c>
      <c r="E137" s="6">
        <f>E136</f>
        <v>116.79</v>
      </c>
      <c r="F137" s="6">
        <v>106.27</v>
      </c>
    </row>
    <row r="138" spans="1:6" x14ac:dyDescent="0.3">
      <c r="A138" s="2">
        <v>44390</v>
      </c>
      <c r="B138" s="6">
        <v>69.59</v>
      </c>
      <c r="C138" s="6">
        <v>91.35</v>
      </c>
      <c r="D138" s="6">
        <v>108.93</v>
      </c>
      <c r="E138" s="6">
        <f>E137</f>
        <v>116.79</v>
      </c>
      <c r="F138" s="6">
        <v>106.27</v>
      </c>
    </row>
    <row r="139" spans="1:6" x14ac:dyDescent="0.3">
      <c r="A139" s="3">
        <v>44391</v>
      </c>
      <c r="B139" s="6">
        <v>69.59</v>
      </c>
      <c r="C139" s="6">
        <v>91.35</v>
      </c>
      <c r="D139" s="6">
        <v>108.93</v>
      </c>
      <c r="E139" s="6">
        <f>E138</f>
        <v>116.79</v>
      </c>
      <c r="F139" s="6">
        <v>106.27</v>
      </c>
    </row>
    <row r="140" spans="1:6" x14ac:dyDescent="0.3">
      <c r="A140" s="2">
        <v>44392</v>
      </c>
      <c r="B140" s="6">
        <v>69.59</v>
      </c>
      <c r="C140" s="6">
        <v>91.35</v>
      </c>
      <c r="D140" s="6">
        <v>108.93</v>
      </c>
      <c r="E140" s="6">
        <f>E139</f>
        <v>116.79</v>
      </c>
      <c r="F140" s="6">
        <v>106.27</v>
      </c>
    </row>
    <row r="141" spans="1:6" x14ac:dyDescent="0.3">
      <c r="A141" s="3">
        <v>44393</v>
      </c>
      <c r="B141" s="6">
        <v>76.650000000000006</v>
      </c>
      <c r="C141" s="6">
        <v>98.11</v>
      </c>
      <c r="D141" s="6">
        <v>117.78</v>
      </c>
      <c r="E141" s="6">
        <f>_xlfn.XLOOKUP(A141,'[1]Price History'!$A$3:$A$946,'[1]Price History'!$K$3:$K$946)</f>
        <v>121.27</v>
      </c>
      <c r="F141" s="6">
        <v>111.27</v>
      </c>
    </row>
    <row r="142" spans="1:6" x14ac:dyDescent="0.3">
      <c r="A142" s="2">
        <v>44396</v>
      </c>
      <c r="B142" s="6">
        <v>76.650000000000006</v>
      </c>
      <c r="C142" s="6">
        <v>98.11</v>
      </c>
      <c r="D142" s="6">
        <v>117.78</v>
      </c>
      <c r="E142" s="6">
        <f>E141</f>
        <v>121.27</v>
      </c>
      <c r="F142" s="6">
        <v>111.27</v>
      </c>
    </row>
    <row r="143" spans="1:6" x14ac:dyDescent="0.3">
      <c r="A143" s="3">
        <v>44397</v>
      </c>
      <c r="B143" s="6">
        <v>76.650000000000006</v>
      </c>
      <c r="C143" s="6">
        <v>98.11</v>
      </c>
      <c r="D143" s="6">
        <v>117.78</v>
      </c>
      <c r="E143" s="6">
        <f>E142</f>
        <v>121.27</v>
      </c>
      <c r="F143" s="6">
        <v>111.27</v>
      </c>
    </row>
    <row r="144" spans="1:6" x14ac:dyDescent="0.3">
      <c r="A144" s="2">
        <v>44398</v>
      </c>
      <c r="B144" s="6">
        <v>76.650000000000006</v>
      </c>
      <c r="C144" s="6">
        <v>98.11</v>
      </c>
      <c r="D144" s="6">
        <v>117.78</v>
      </c>
      <c r="E144" s="6">
        <f>E143</f>
        <v>121.27</v>
      </c>
      <c r="F144" s="6">
        <v>111.27</v>
      </c>
    </row>
    <row r="145" spans="1:6" x14ac:dyDescent="0.3">
      <c r="A145" s="3">
        <v>44399</v>
      </c>
      <c r="B145" s="6">
        <v>76.650000000000006</v>
      </c>
      <c r="C145" s="6">
        <v>98.11</v>
      </c>
      <c r="D145" s="6">
        <v>117.78</v>
      </c>
      <c r="E145" s="6">
        <f>E144</f>
        <v>121.27</v>
      </c>
      <c r="F145" s="6">
        <v>111.27</v>
      </c>
    </row>
    <row r="146" spans="1:6" x14ac:dyDescent="0.3">
      <c r="A146" s="2">
        <v>44400</v>
      </c>
      <c r="B146" s="6">
        <v>81.12</v>
      </c>
      <c r="C146" s="6">
        <v>102.56</v>
      </c>
      <c r="D146" s="6">
        <v>123.15</v>
      </c>
      <c r="E146" s="6">
        <f>_xlfn.XLOOKUP(A146,'[1]Price History'!$A$3:$A$946,'[1]Price History'!$K$3:$K$946)</f>
        <v>129.15</v>
      </c>
      <c r="F146" s="6">
        <v>116.25</v>
      </c>
    </row>
    <row r="147" spans="1:6" x14ac:dyDescent="0.3">
      <c r="A147" s="3">
        <v>44403</v>
      </c>
      <c r="B147" s="6">
        <v>81.12</v>
      </c>
      <c r="C147" s="6">
        <v>102.56</v>
      </c>
      <c r="D147" s="6">
        <v>123.15</v>
      </c>
      <c r="E147" s="6">
        <f>E146</f>
        <v>129.15</v>
      </c>
      <c r="F147" s="6">
        <v>116.25</v>
      </c>
    </row>
    <row r="148" spans="1:6" x14ac:dyDescent="0.3">
      <c r="A148" s="2">
        <v>44404</v>
      </c>
      <c r="B148" s="6">
        <v>81.12</v>
      </c>
      <c r="C148" s="6">
        <v>102.56</v>
      </c>
      <c r="D148" s="6">
        <v>123.15</v>
      </c>
      <c r="E148" s="6">
        <f>E147</f>
        <v>129.15</v>
      </c>
      <c r="F148" s="6">
        <v>116.25</v>
      </c>
    </row>
    <row r="149" spans="1:6" x14ac:dyDescent="0.3">
      <c r="A149" s="3">
        <v>44405</v>
      </c>
      <c r="B149" s="6">
        <v>81.12</v>
      </c>
      <c r="C149" s="6">
        <v>102.56</v>
      </c>
      <c r="D149" s="6">
        <v>123.15</v>
      </c>
      <c r="E149" s="6">
        <f>E148</f>
        <v>129.15</v>
      </c>
      <c r="F149" s="6">
        <v>116.25</v>
      </c>
    </row>
    <row r="150" spans="1:6" x14ac:dyDescent="0.3">
      <c r="A150" s="2">
        <v>44406</v>
      </c>
      <c r="B150" s="6">
        <v>81.12</v>
      </c>
      <c r="C150" s="6">
        <v>102.56</v>
      </c>
      <c r="D150" s="6">
        <v>123.15</v>
      </c>
      <c r="E150" s="6">
        <f>E149</f>
        <v>129.15</v>
      </c>
      <c r="F150" s="6">
        <v>116.25</v>
      </c>
    </row>
    <row r="151" spans="1:6" x14ac:dyDescent="0.3">
      <c r="A151" s="3">
        <v>44407</v>
      </c>
      <c r="B151" s="6">
        <v>82</v>
      </c>
      <c r="C151" s="6">
        <v>104.57</v>
      </c>
      <c r="D151" s="6">
        <v>125.64</v>
      </c>
      <c r="E151" s="6">
        <f>_xlfn.XLOOKUP(A151,'[1]Price History'!$A$3:$A$946,'[1]Price History'!$K$3:$K$946)</f>
        <v>130.15</v>
      </c>
      <c r="F151" s="6">
        <v>117.69</v>
      </c>
    </row>
    <row r="152" spans="1:6" x14ac:dyDescent="0.3">
      <c r="A152" s="2">
        <v>44410</v>
      </c>
      <c r="B152" s="6">
        <v>82</v>
      </c>
      <c r="C152" s="6">
        <v>104.57</v>
      </c>
      <c r="D152" s="6">
        <v>125.64</v>
      </c>
      <c r="E152" s="6">
        <f>E151</f>
        <v>130.15</v>
      </c>
      <c r="F152" s="6">
        <v>117.69</v>
      </c>
    </row>
    <row r="153" spans="1:6" x14ac:dyDescent="0.3">
      <c r="A153" s="3">
        <v>44411</v>
      </c>
      <c r="B153" s="6">
        <v>82</v>
      </c>
      <c r="C153" s="6">
        <v>104.57</v>
      </c>
      <c r="D153" s="6">
        <v>125.64</v>
      </c>
      <c r="E153" s="6">
        <f>E152</f>
        <v>130.15</v>
      </c>
      <c r="F153" s="6">
        <v>117.69</v>
      </c>
    </row>
    <row r="154" spans="1:6" x14ac:dyDescent="0.3">
      <c r="A154" s="2">
        <v>44412</v>
      </c>
      <c r="B154" s="6">
        <v>82</v>
      </c>
      <c r="C154" s="6">
        <v>104.57</v>
      </c>
      <c r="D154" s="6">
        <v>125.64</v>
      </c>
      <c r="E154" s="6">
        <f>E153</f>
        <v>130.15</v>
      </c>
      <c r="F154" s="6">
        <v>117.69</v>
      </c>
    </row>
    <row r="155" spans="1:6" x14ac:dyDescent="0.3">
      <c r="A155" s="3">
        <v>44413</v>
      </c>
      <c r="B155" s="6">
        <v>82</v>
      </c>
      <c r="C155" s="6">
        <v>104.57</v>
      </c>
      <c r="D155" s="6">
        <v>125.64</v>
      </c>
      <c r="E155" s="6">
        <f>E154</f>
        <v>130.15</v>
      </c>
      <c r="F155" s="6">
        <v>117.69</v>
      </c>
    </row>
    <row r="156" spans="1:6" x14ac:dyDescent="0.3">
      <c r="A156" s="2">
        <v>44414</v>
      </c>
      <c r="B156" s="6">
        <v>82.66</v>
      </c>
      <c r="C156" s="6">
        <v>104.82</v>
      </c>
      <c r="D156" s="6">
        <v>125.73</v>
      </c>
      <c r="E156" s="6">
        <f>_xlfn.XLOOKUP(A156,'[1]Price History'!$A$3:$A$946,'[1]Price History'!$K$3:$K$946)</f>
        <v>133.49</v>
      </c>
      <c r="F156" s="6">
        <v>120.14</v>
      </c>
    </row>
    <row r="157" spans="1:6" x14ac:dyDescent="0.3">
      <c r="A157" s="3">
        <v>44417</v>
      </c>
      <c r="B157" s="6">
        <v>82.66</v>
      </c>
      <c r="C157" s="6">
        <v>104.82</v>
      </c>
      <c r="D157" s="6">
        <v>125.73</v>
      </c>
      <c r="E157" s="6">
        <f>E156</f>
        <v>133.49</v>
      </c>
      <c r="F157" s="6">
        <v>120.14</v>
      </c>
    </row>
    <row r="158" spans="1:6" x14ac:dyDescent="0.3">
      <c r="A158" s="2">
        <v>44418</v>
      </c>
      <c r="B158" s="6">
        <v>82.66</v>
      </c>
      <c r="C158" s="6">
        <v>104.82</v>
      </c>
      <c r="D158" s="6">
        <v>125.73</v>
      </c>
      <c r="E158" s="6">
        <f>E157</f>
        <v>133.49</v>
      </c>
      <c r="F158" s="6">
        <v>120.14</v>
      </c>
    </row>
    <row r="159" spans="1:6" x14ac:dyDescent="0.3">
      <c r="A159" s="3">
        <v>44419</v>
      </c>
      <c r="B159" s="6">
        <v>82.66</v>
      </c>
      <c r="C159" s="6">
        <v>104.82</v>
      </c>
      <c r="D159" s="6">
        <v>125.73</v>
      </c>
      <c r="E159" s="6">
        <f>E158</f>
        <v>133.49</v>
      </c>
      <c r="F159" s="6">
        <v>120.14</v>
      </c>
    </row>
    <row r="160" spans="1:6" x14ac:dyDescent="0.3">
      <c r="A160" s="2">
        <v>44420</v>
      </c>
      <c r="B160" s="6">
        <v>82.66</v>
      </c>
      <c r="C160" s="6">
        <v>104.82</v>
      </c>
      <c r="D160" s="6">
        <v>125.73</v>
      </c>
      <c r="E160" s="6">
        <f>E159</f>
        <v>133.49</v>
      </c>
      <c r="F160" s="6">
        <v>120.14</v>
      </c>
    </row>
    <row r="161" spans="1:6" x14ac:dyDescent="0.3">
      <c r="A161" s="3">
        <v>44421</v>
      </c>
      <c r="B161" s="6">
        <v>87.6</v>
      </c>
      <c r="C161" s="6">
        <v>108.79</v>
      </c>
      <c r="D161" s="6">
        <v>132.07</v>
      </c>
      <c r="E161" s="6">
        <f>_xlfn.XLOOKUP(A161,'[1]Price History'!$A$3:$A$946,'[1]Price History'!$K$3:$K$946)</f>
        <v>137.06</v>
      </c>
      <c r="F161" s="6">
        <v>120.16</v>
      </c>
    </row>
    <row r="162" spans="1:6" x14ac:dyDescent="0.3">
      <c r="A162" s="2">
        <v>44424</v>
      </c>
      <c r="B162" s="6">
        <v>87.6</v>
      </c>
      <c r="C162" s="6">
        <v>108.79</v>
      </c>
      <c r="D162" s="6">
        <v>132.07</v>
      </c>
      <c r="E162" s="6">
        <f>E161</f>
        <v>137.06</v>
      </c>
      <c r="F162" s="6">
        <v>120.16</v>
      </c>
    </row>
    <row r="163" spans="1:6" x14ac:dyDescent="0.3">
      <c r="A163" s="3">
        <v>44425</v>
      </c>
      <c r="B163" s="6">
        <v>87.6</v>
      </c>
      <c r="C163" s="6">
        <v>108.79</v>
      </c>
      <c r="D163" s="6">
        <v>132.07</v>
      </c>
      <c r="E163" s="6">
        <f>E162</f>
        <v>137.06</v>
      </c>
      <c r="F163" s="6">
        <v>120.16</v>
      </c>
    </row>
    <row r="164" spans="1:6" x14ac:dyDescent="0.3">
      <c r="A164" s="2">
        <v>44426</v>
      </c>
      <c r="B164" s="6">
        <v>87.6</v>
      </c>
      <c r="C164" s="6">
        <v>108.79</v>
      </c>
      <c r="D164" s="6">
        <v>132.07</v>
      </c>
      <c r="E164" s="6">
        <f>E163</f>
        <v>137.06</v>
      </c>
      <c r="F164" s="6">
        <v>120.16</v>
      </c>
    </row>
    <row r="165" spans="1:6" x14ac:dyDescent="0.3">
      <c r="A165" s="3">
        <v>44427</v>
      </c>
      <c r="B165" s="6">
        <v>87.6</v>
      </c>
      <c r="C165" s="6">
        <v>108.79</v>
      </c>
      <c r="D165" s="6">
        <v>132.07</v>
      </c>
      <c r="E165" s="6">
        <f>E164</f>
        <v>137.06</v>
      </c>
      <c r="F165" s="6">
        <v>120.16</v>
      </c>
    </row>
    <row r="166" spans="1:6" x14ac:dyDescent="0.3">
      <c r="A166" s="2">
        <v>44428</v>
      </c>
      <c r="B166" s="6">
        <v>88.46</v>
      </c>
      <c r="C166" s="6">
        <v>110.86</v>
      </c>
      <c r="D166" s="6">
        <v>133.05000000000001</v>
      </c>
      <c r="E166" s="6">
        <f>_xlfn.XLOOKUP(A166,'[1]Price History'!$A$3:$A$946,'[1]Price History'!$K$3:$K$946)</f>
        <v>139.82</v>
      </c>
      <c r="F166" s="6">
        <v>125.12</v>
      </c>
    </row>
    <row r="167" spans="1:6" x14ac:dyDescent="0.3">
      <c r="A167" s="3">
        <v>44431</v>
      </c>
      <c r="B167" s="6">
        <v>88.46</v>
      </c>
      <c r="C167" s="6">
        <v>110.86</v>
      </c>
      <c r="D167" s="6">
        <v>133.05000000000001</v>
      </c>
      <c r="E167" s="6">
        <f>E166</f>
        <v>139.82</v>
      </c>
      <c r="F167" s="6">
        <v>125.12</v>
      </c>
    </row>
    <row r="168" spans="1:6" x14ac:dyDescent="0.3">
      <c r="A168" s="2">
        <v>44432</v>
      </c>
      <c r="B168" s="6">
        <v>88.46</v>
      </c>
      <c r="C168" s="6">
        <v>110.86</v>
      </c>
      <c r="D168" s="6">
        <v>133.05000000000001</v>
      </c>
      <c r="E168" s="6">
        <f>E167</f>
        <v>139.82</v>
      </c>
      <c r="F168" s="6">
        <v>125.12</v>
      </c>
    </row>
    <row r="169" spans="1:6" x14ac:dyDescent="0.3">
      <c r="A169" s="3">
        <v>44433</v>
      </c>
      <c r="B169" s="6">
        <v>88.46</v>
      </c>
      <c r="C169" s="6">
        <v>110.86</v>
      </c>
      <c r="D169" s="6">
        <v>133.05000000000001</v>
      </c>
      <c r="E169" s="6">
        <f>E168</f>
        <v>139.82</v>
      </c>
      <c r="F169" s="6">
        <v>125.12</v>
      </c>
    </row>
    <row r="170" spans="1:6" x14ac:dyDescent="0.3">
      <c r="A170" s="2">
        <v>44434</v>
      </c>
      <c r="B170" s="6">
        <v>88.46</v>
      </c>
      <c r="C170" s="6">
        <v>110.86</v>
      </c>
      <c r="D170" s="6">
        <v>133.05000000000001</v>
      </c>
      <c r="E170" s="6">
        <f>E169</f>
        <v>139.82</v>
      </c>
      <c r="F170" s="6">
        <v>125.12</v>
      </c>
    </row>
    <row r="171" spans="1:6" x14ac:dyDescent="0.3">
      <c r="A171" s="3">
        <v>44435</v>
      </c>
      <c r="B171" s="6">
        <v>89.14</v>
      </c>
      <c r="C171" s="6">
        <v>113.48</v>
      </c>
      <c r="D171" s="6">
        <v>135.76</v>
      </c>
      <c r="E171" s="6">
        <f>_xlfn.XLOOKUP(A171,'[1]Price History'!$A$3:$A$946,'[1]Price History'!$K$3:$K$946)</f>
        <v>142.09</v>
      </c>
      <c r="F171" s="6">
        <v>126.11</v>
      </c>
    </row>
    <row r="172" spans="1:6" x14ac:dyDescent="0.3">
      <c r="A172" s="2">
        <v>44438</v>
      </c>
      <c r="B172" s="6"/>
      <c r="C172" s="6"/>
      <c r="D172" s="6"/>
      <c r="E172" s="6">
        <f>E171</f>
        <v>142.09</v>
      </c>
      <c r="F172" s="6"/>
    </row>
    <row r="173" spans="1:6" x14ac:dyDescent="0.3">
      <c r="A173" s="3">
        <v>44439</v>
      </c>
      <c r="B173" s="6">
        <v>89.14</v>
      </c>
      <c r="C173" s="6">
        <v>113.48</v>
      </c>
      <c r="D173" s="6">
        <v>135.76</v>
      </c>
      <c r="E173" s="6">
        <f>E172</f>
        <v>142.09</v>
      </c>
      <c r="F173" s="6">
        <v>126.11</v>
      </c>
    </row>
    <row r="174" spans="1:6" x14ac:dyDescent="0.3">
      <c r="A174" s="2">
        <v>44440</v>
      </c>
      <c r="B174" s="6">
        <v>89.14</v>
      </c>
      <c r="C174" s="6">
        <v>113.48</v>
      </c>
      <c r="D174" s="6">
        <v>135.76</v>
      </c>
      <c r="E174" s="6">
        <f>E173</f>
        <v>142.09</v>
      </c>
      <c r="F174" s="6">
        <v>126.11</v>
      </c>
    </row>
    <row r="175" spans="1:6" x14ac:dyDescent="0.3">
      <c r="A175" s="3">
        <v>44441</v>
      </c>
      <c r="B175" s="6">
        <v>89.14</v>
      </c>
      <c r="C175" s="6">
        <v>113.48</v>
      </c>
      <c r="D175" s="6">
        <v>135.76</v>
      </c>
      <c r="E175" s="6">
        <f>E174</f>
        <v>142.09</v>
      </c>
      <c r="F175" s="6">
        <v>126.11</v>
      </c>
    </row>
    <row r="176" spans="1:6" x14ac:dyDescent="0.3">
      <c r="A176" s="2">
        <v>44442</v>
      </c>
      <c r="B176" s="6">
        <v>95.79</v>
      </c>
      <c r="C176" s="6">
        <v>120.49</v>
      </c>
      <c r="D176" s="6">
        <v>144.6</v>
      </c>
      <c r="E176" s="6">
        <f>_xlfn.XLOOKUP(A176,'[1]Price History'!$A$3:$A$946,'[1]Price History'!$K$3:$K$946)</f>
        <v>148.85</v>
      </c>
      <c r="F176" s="6">
        <v>130.82</v>
      </c>
    </row>
    <row r="177" spans="1:6" x14ac:dyDescent="0.3">
      <c r="A177" s="3">
        <v>44445</v>
      </c>
      <c r="B177" s="6">
        <v>95.79</v>
      </c>
      <c r="C177" s="6">
        <v>120.49</v>
      </c>
      <c r="D177" s="6">
        <v>144.6</v>
      </c>
      <c r="E177" s="6">
        <f>E176</f>
        <v>148.85</v>
      </c>
      <c r="F177" s="6">
        <v>130.82</v>
      </c>
    </row>
    <row r="178" spans="1:6" x14ac:dyDescent="0.3">
      <c r="A178" s="2">
        <v>44446</v>
      </c>
      <c r="B178" s="6">
        <v>95.79</v>
      </c>
      <c r="C178" s="6">
        <v>120.49</v>
      </c>
      <c r="D178" s="6">
        <v>144.6</v>
      </c>
      <c r="E178" s="6">
        <f>E177</f>
        <v>148.85</v>
      </c>
      <c r="F178" s="6">
        <v>130.82</v>
      </c>
    </row>
    <row r="179" spans="1:6" x14ac:dyDescent="0.3">
      <c r="A179" s="3">
        <v>44447</v>
      </c>
      <c r="B179" s="6">
        <v>95.79</v>
      </c>
      <c r="C179" s="6">
        <v>120.49</v>
      </c>
      <c r="D179" s="6">
        <v>144.6</v>
      </c>
      <c r="E179" s="6">
        <f>E178</f>
        <v>148.85</v>
      </c>
      <c r="F179" s="6">
        <v>130.82</v>
      </c>
    </row>
    <row r="180" spans="1:6" x14ac:dyDescent="0.3">
      <c r="A180" s="2">
        <v>44448</v>
      </c>
      <c r="B180" s="6">
        <v>95.79</v>
      </c>
      <c r="C180" s="6">
        <v>120.49</v>
      </c>
      <c r="D180" s="6">
        <v>144.6</v>
      </c>
      <c r="E180" s="6">
        <f>E179</f>
        <v>148.85</v>
      </c>
      <c r="F180" s="6">
        <v>130.82</v>
      </c>
    </row>
    <row r="181" spans="1:6" x14ac:dyDescent="0.3">
      <c r="A181" s="3">
        <v>44449</v>
      </c>
      <c r="B181" s="6">
        <v>98.9</v>
      </c>
      <c r="C181" s="6">
        <v>124.34</v>
      </c>
      <c r="D181" s="6">
        <v>148.35</v>
      </c>
      <c r="E181" s="6">
        <f>_xlfn.XLOOKUP(A181,'[1]Price History'!$A$3:$A$946,'[1]Price History'!$K$3:$K$946)</f>
        <v>153.77000000000001</v>
      </c>
      <c r="F181" s="6">
        <v>135.88</v>
      </c>
    </row>
    <row r="182" spans="1:6" x14ac:dyDescent="0.3">
      <c r="A182" s="2">
        <v>44452</v>
      </c>
      <c r="B182" s="6">
        <v>98.9</v>
      </c>
      <c r="C182" s="6">
        <v>124.34</v>
      </c>
      <c r="D182" s="6">
        <v>148.35</v>
      </c>
      <c r="E182" s="6">
        <f>E181</f>
        <v>153.77000000000001</v>
      </c>
      <c r="F182" s="6">
        <v>135.88</v>
      </c>
    </row>
    <row r="183" spans="1:6" x14ac:dyDescent="0.3">
      <c r="A183" s="3">
        <v>44453</v>
      </c>
      <c r="B183" s="6">
        <v>98.9</v>
      </c>
      <c r="C183" s="6">
        <v>124.34</v>
      </c>
      <c r="D183" s="6">
        <v>148.35</v>
      </c>
      <c r="E183" s="6">
        <f>E182</f>
        <v>153.77000000000001</v>
      </c>
      <c r="F183" s="6">
        <v>135.88</v>
      </c>
    </row>
    <row r="184" spans="1:6" x14ac:dyDescent="0.3">
      <c r="A184" s="2">
        <v>44454</v>
      </c>
      <c r="B184" s="6">
        <v>98.9</v>
      </c>
      <c r="C184" s="6">
        <v>124.34</v>
      </c>
      <c r="D184" s="6">
        <v>148.35</v>
      </c>
      <c r="E184" s="6">
        <f>E183</f>
        <v>153.77000000000001</v>
      </c>
      <c r="F184" s="6">
        <v>135.88</v>
      </c>
    </row>
    <row r="185" spans="1:6" x14ac:dyDescent="0.3">
      <c r="A185" s="3">
        <v>44455</v>
      </c>
      <c r="B185" s="6">
        <v>98.9</v>
      </c>
      <c r="C185" s="6">
        <v>124.34</v>
      </c>
      <c r="D185" s="6">
        <v>148.35</v>
      </c>
      <c r="E185" s="6">
        <f>E184</f>
        <v>153.77000000000001</v>
      </c>
      <c r="F185" s="6">
        <v>135.88</v>
      </c>
    </row>
    <row r="186" spans="1:6" x14ac:dyDescent="0.3">
      <c r="A186" s="2">
        <v>44456</v>
      </c>
      <c r="B186" s="6">
        <v>100.79</v>
      </c>
      <c r="C186" s="6">
        <v>126.75</v>
      </c>
      <c r="D186" s="6">
        <v>149.79</v>
      </c>
      <c r="E186" s="6">
        <f>_xlfn.XLOOKUP(A186,'[1]Price History'!$A$3:$A$946,'[1]Price History'!$K$3:$K$946)</f>
        <v>158.69999999999999</v>
      </c>
      <c r="F186" s="6">
        <v>138.5</v>
      </c>
    </row>
    <row r="187" spans="1:6" x14ac:dyDescent="0.3">
      <c r="A187" s="3">
        <v>44459</v>
      </c>
      <c r="B187" s="6">
        <v>100.79</v>
      </c>
      <c r="C187" s="6">
        <v>126.75</v>
      </c>
      <c r="D187" s="6">
        <v>149.79</v>
      </c>
      <c r="E187" s="6">
        <f>E186</f>
        <v>158.69999999999999</v>
      </c>
      <c r="F187" s="6">
        <v>138.5</v>
      </c>
    </row>
    <row r="188" spans="1:6" x14ac:dyDescent="0.3">
      <c r="A188" s="2">
        <v>44460</v>
      </c>
      <c r="B188" s="6">
        <v>100.79</v>
      </c>
      <c r="C188" s="6">
        <v>126.75</v>
      </c>
      <c r="D188" s="6">
        <v>149.79</v>
      </c>
      <c r="E188" s="6">
        <f>E187</f>
        <v>158.69999999999999</v>
      </c>
      <c r="F188" s="6">
        <v>138.5</v>
      </c>
    </row>
    <row r="189" spans="1:6" x14ac:dyDescent="0.3">
      <c r="A189" s="3">
        <v>44461</v>
      </c>
      <c r="B189" s="6">
        <v>100.79</v>
      </c>
      <c r="C189" s="6">
        <v>126.75</v>
      </c>
      <c r="D189" s="6">
        <v>149.79</v>
      </c>
      <c r="E189" s="6">
        <f>E188</f>
        <v>158.69999999999999</v>
      </c>
      <c r="F189" s="6">
        <v>138.5</v>
      </c>
    </row>
    <row r="190" spans="1:6" x14ac:dyDescent="0.3">
      <c r="A190" s="2">
        <v>44462</v>
      </c>
      <c r="B190" s="6">
        <v>100.79</v>
      </c>
      <c r="C190" s="6">
        <v>126.75</v>
      </c>
      <c r="D190" s="6">
        <v>149.79</v>
      </c>
      <c r="E190" s="6">
        <f>E189</f>
        <v>158.69999999999999</v>
      </c>
      <c r="F190" s="6">
        <v>138.5</v>
      </c>
    </row>
    <row r="191" spans="1:6" x14ac:dyDescent="0.3">
      <c r="A191" s="3">
        <v>44463</v>
      </c>
      <c r="B191" s="6">
        <v>104.18</v>
      </c>
      <c r="C191" s="6">
        <v>130.63</v>
      </c>
      <c r="D191" s="6">
        <v>156.16999999999999</v>
      </c>
      <c r="E191" s="6">
        <f>_xlfn.XLOOKUP(A191,'[1]Price History'!$A$3:$A$946,'[1]Price History'!$K$3:$K$946)</f>
        <v>162.24</v>
      </c>
      <c r="F191" s="6">
        <v>141.65</v>
      </c>
    </row>
    <row r="192" spans="1:6" x14ac:dyDescent="0.3">
      <c r="A192" s="2">
        <v>44466</v>
      </c>
      <c r="B192" s="6">
        <v>104.18</v>
      </c>
      <c r="C192" s="6">
        <v>130.63</v>
      </c>
      <c r="D192" s="6">
        <v>156.16999999999999</v>
      </c>
      <c r="E192" s="6">
        <f>E191</f>
        <v>162.24</v>
      </c>
      <c r="F192" s="6">
        <v>141.65</v>
      </c>
    </row>
    <row r="193" spans="1:6" x14ac:dyDescent="0.3">
      <c r="A193" s="3">
        <v>44467</v>
      </c>
      <c r="B193" s="6">
        <v>104.18</v>
      </c>
      <c r="C193" s="6">
        <v>130.63</v>
      </c>
      <c r="D193" s="6">
        <v>156.16999999999999</v>
      </c>
      <c r="E193" s="6">
        <f>E192</f>
        <v>162.24</v>
      </c>
      <c r="F193" s="6">
        <v>141.65</v>
      </c>
    </row>
    <row r="194" spans="1:6" x14ac:dyDescent="0.3">
      <c r="A194" s="2">
        <v>44468</v>
      </c>
      <c r="B194" s="6">
        <v>104.18</v>
      </c>
      <c r="C194" s="6">
        <v>130.63</v>
      </c>
      <c r="D194" s="6">
        <v>156.16999999999999</v>
      </c>
      <c r="E194" s="6">
        <f>E193</f>
        <v>162.24</v>
      </c>
      <c r="F194" s="6">
        <v>141.65</v>
      </c>
    </row>
    <row r="195" spans="1:6" x14ac:dyDescent="0.3">
      <c r="A195" s="3">
        <v>44469</v>
      </c>
      <c r="B195" s="6">
        <v>104.18</v>
      </c>
      <c r="C195" s="6">
        <v>130.63</v>
      </c>
      <c r="D195" s="6">
        <v>156.16999999999999</v>
      </c>
      <c r="E195" s="6">
        <f>E194</f>
        <v>162.24</v>
      </c>
      <c r="F195" s="6">
        <v>141.65</v>
      </c>
    </row>
    <row r="196" spans="1:6" x14ac:dyDescent="0.3">
      <c r="A196" s="2">
        <v>44470</v>
      </c>
      <c r="B196" s="6">
        <v>126.17</v>
      </c>
      <c r="C196" s="6">
        <v>155.43</v>
      </c>
      <c r="D196" s="6">
        <v>183.7</v>
      </c>
      <c r="E196" s="6">
        <f>_xlfn.XLOOKUP(A196,'[1]Price History'!$A$3:$A$946,'[1]Price History'!$K$3:$K$946)</f>
        <v>193.94</v>
      </c>
      <c r="F196" s="6">
        <v>160.76</v>
      </c>
    </row>
    <row r="197" spans="1:6" x14ac:dyDescent="0.3">
      <c r="A197" s="3">
        <v>44473</v>
      </c>
      <c r="B197" s="6">
        <v>126.17</v>
      </c>
      <c r="C197" s="6">
        <v>155.43</v>
      </c>
      <c r="D197" s="6">
        <v>183.7</v>
      </c>
      <c r="E197" s="6">
        <f>E196</f>
        <v>193.94</v>
      </c>
      <c r="F197" s="6">
        <v>160.76</v>
      </c>
    </row>
    <row r="198" spans="1:6" x14ac:dyDescent="0.3">
      <c r="A198" s="2">
        <v>44474</v>
      </c>
      <c r="B198" s="6">
        <v>126.17</v>
      </c>
      <c r="C198" s="6">
        <v>155.43</v>
      </c>
      <c r="D198" s="6">
        <v>183.7</v>
      </c>
      <c r="E198" s="6">
        <f>E197</f>
        <v>193.94</v>
      </c>
      <c r="F198" s="6">
        <v>160.76</v>
      </c>
    </row>
    <row r="199" spans="1:6" x14ac:dyDescent="0.3">
      <c r="A199" s="3">
        <v>44475</v>
      </c>
      <c r="B199" s="6">
        <v>126.17</v>
      </c>
      <c r="C199" s="6">
        <v>155.43</v>
      </c>
      <c r="D199" s="6">
        <v>183.7</v>
      </c>
      <c r="E199" s="6">
        <f>E198</f>
        <v>193.94</v>
      </c>
      <c r="F199" s="6">
        <v>160.76</v>
      </c>
    </row>
    <row r="200" spans="1:6" x14ac:dyDescent="0.3">
      <c r="A200" s="2">
        <v>44476</v>
      </c>
      <c r="B200" s="6">
        <v>126.17</v>
      </c>
      <c r="C200" s="6">
        <v>155.43</v>
      </c>
      <c r="D200" s="6">
        <v>183.7</v>
      </c>
      <c r="E200" s="6">
        <f>E199</f>
        <v>193.94</v>
      </c>
      <c r="F200" s="6">
        <v>160.76</v>
      </c>
    </row>
    <row r="201" spans="1:6" x14ac:dyDescent="0.3">
      <c r="A201" s="3">
        <v>44477</v>
      </c>
      <c r="B201" s="6">
        <v>152.61000000000001</v>
      </c>
      <c r="C201" s="6">
        <v>185.6</v>
      </c>
      <c r="D201" s="6">
        <v>216.97</v>
      </c>
      <c r="E201" s="6">
        <f>_xlfn.XLOOKUP(A201,'[1]Price History'!$A$3:$A$946,'[1]Price History'!$K$3:$K$946)</f>
        <v>229.89</v>
      </c>
      <c r="F201" s="6">
        <v>175.32</v>
      </c>
    </row>
    <row r="202" spans="1:6" x14ac:dyDescent="0.3">
      <c r="A202" s="2">
        <v>44480</v>
      </c>
      <c r="B202" s="6">
        <v>152.61000000000001</v>
      </c>
      <c r="C202" s="6">
        <v>185.6</v>
      </c>
      <c r="D202" s="6">
        <v>216.97</v>
      </c>
      <c r="E202" s="6">
        <f>E201</f>
        <v>229.89</v>
      </c>
      <c r="F202" s="6">
        <v>175.32</v>
      </c>
    </row>
    <row r="203" spans="1:6" x14ac:dyDescent="0.3">
      <c r="A203" s="3">
        <v>44481</v>
      </c>
      <c r="B203" s="6">
        <v>152.61000000000001</v>
      </c>
      <c r="C203" s="6">
        <v>185.6</v>
      </c>
      <c r="D203" s="6">
        <v>216.97</v>
      </c>
      <c r="E203" s="6">
        <f>E202</f>
        <v>229.89</v>
      </c>
      <c r="F203" s="6">
        <v>175.32</v>
      </c>
    </row>
    <row r="204" spans="1:6" x14ac:dyDescent="0.3">
      <c r="A204" s="2">
        <v>44482</v>
      </c>
      <c r="B204" s="6">
        <v>152.61000000000001</v>
      </c>
      <c r="C204" s="6">
        <v>185.6</v>
      </c>
      <c r="D204" s="6">
        <v>216.97</v>
      </c>
      <c r="E204" s="6">
        <f>E203</f>
        <v>229.89</v>
      </c>
      <c r="F204" s="6">
        <v>175.32</v>
      </c>
    </row>
    <row r="205" spans="1:6" x14ac:dyDescent="0.3">
      <c r="A205" s="3">
        <v>44483</v>
      </c>
      <c r="B205" s="6">
        <v>152.61000000000001</v>
      </c>
      <c r="C205" s="6">
        <v>185.6</v>
      </c>
      <c r="D205" s="6">
        <v>216.97</v>
      </c>
      <c r="E205" s="6">
        <f>E204</f>
        <v>229.89</v>
      </c>
      <c r="F205" s="6">
        <v>175.32</v>
      </c>
    </row>
    <row r="206" spans="1:6" x14ac:dyDescent="0.3">
      <c r="A206" s="2">
        <v>44484</v>
      </c>
      <c r="B206" s="6">
        <v>158.44999999999999</v>
      </c>
      <c r="C206" s="6">
        <v>192.5</v>
      </c>
      <c r="D206" s="6">
        <v>224.43</v>
      </c>
      <c r="E206" s="6">
        <f>_xlfn.XLOOKUP(A206,'[1]Price History'!$A$3:$A$946,'[1]Price History'!$K$3:$K$946)</f>
        <v>239.82</v>
      </c>
      <c r="F206" s="6">
        <v>217.15</v>
      </c>
    </row>
    <row r="207" spans="1:6" x14ac:dyDescent="0.3">
      <c r="A207" s="3">
        <v>44487</v>
      </c>
      <c r="B207" s="6">
        <v>158.44999999999999</v>
      </c>
      <c r="C207" s="6">
        <v>192.5</v>
      </c>
      <c r="D207" s="6">
        <v>224.43</v>
      </c>
      <c r="E207" s="6">
        <f>E206</f>
        <v>239.82</v>
      </c>
      <c r="F207" s="6">
        <v>217.15</v>
      </c>
    </row>
    <row r="208" spans="1:6" x14ac:dyDescent="0.3">
      <c r="A208" s="2">
        <v>44488</v>
      </c>
      <c r="B208" s="6">
        <v>158.44999999999999</v>
      </c>
      <c r="C208" s="6">
        <v>192.5</v>
      </c>
      <c r="D208" s="6">
        <v>224.43</v>
      </c>
      <c r="E208" s="6">
        <f>E207</f>
        <v>239.82</v>
      </c>
      <c r="F208" s="6">
        <v>217.15</v>
      </c>
    </row>
    <row r="209" spans="1:6" x14ac:dyDescent="0.3">
      <c r="A209" s="3">
        <v>44489</v>
      </c>
      <c r="B209" s="6">
        <v>158.44999999999999</v>
      </c>
      <c r="C209" s="6">
        <v>192.5</v>
      </c>
      <c r="D209" s="6">
        <v>224.43</v>
      </c>
      <c r="E209" s="6">
        <f>E208</f>
        <v>239.82</v>
      </c>
      <c r="F209" s="6">
        <v>217.15</v>
      </c>
    </row>
    <row r="210" spans="1:6" x14ac:dyDescent="0.3">
      <c r="A210" s="2">
        <v>44490</v>
      </c>
      <c r="B210" s="6">
        <v>158.44999999999999</v>
      </c>
      <c r="C210" s="6">
        <v>192.5</v>
      </c>
      <c r="D210" s="6">
        <v>224.43</v>
      </c>
      <c r="E210" s="6">
        <f>E209</f>
        <v>239.82</v>
      </c>
      <c r="F210" s="6">
        <v>217.15</v>
      </c>
    </row>
    <row r="211" spans="1:6" x14ac:dyDescent="0.3">
      <c r="A211" s="3">
        <v>44491</v>
      </c>
      <c r="B211" s="6">
        <v>132.88</v>
      </c>
      <c r="C211" s="6">
        <v>167.09</v>
      </c>
      <c r="D211" s="6">
        <v>191.93</v>
      </c>
      <c r="E211" s="6">
        <f>_xlfn.XLOOKUP(A211,'[1]Price History'!$A$3:$A$946,'[1]Price History'!$K$3:$K$946)</f>
        <v>212.47</v>
      </c>
      <c r="F211" s="6">
        <v>196.52</v>
      </c>
    </row>
    <row r="212" spans="1:6" x14ac:dyDescent="0.3">
      <c r="A212" s="2">
        <v>44494</v>
      </c>
      <c r="B212" s="6">
        <v>132.88</v>
      </c>
      <c r="C212" s="6">
        <v>167.09</v>
      </c>
      <c r="D212" s="6">
        <v>191.93</v>
      </c>
      <c r="E212" s="6">
        <f>E211</f>
        <v>212.47</v>
      </c>
      <c r="F212" s="6">
        <v>196.52</v>
      </c>
    </row>
    <row r="213" spans="1:6" x14ac:dyDescent="0.3">
      <c r="A213" s="3">
        <v>44495</v>
      </c>
      <c r="B213" s="6">
        <v>132.88</v>
      </c>
      <c r="C213" s="6">
        <v>167.09</v>
      </c>
      <c r="D213" s="6">
        <v>191.93</v>
      </c>
      <c r="E213" s="6">
        <f>E212</f>
        <v>212.47</v>
      </c>
      <c r="F213" s="6">
        <v>196.52</v>
      </c>
    </row>
    <row r="214" spans="1:6" x14ac:dyDescent="0.3">
      <c r="A214" s="2">
        <v>44496</v>
      </c>
      <c r="B214" s="6">
        <v>132.88</v>
      </c>
      <c r="C214" s="6">
        <v>167.09</v>
      </c>
      <c r="D214" s="6">
        <v>191.93</v>
      </c>
      <c r="E214" s="6">
        <f>E213</f>
        <v>212.47</v>
      </c>
      <c r="F214" s="6">
        <v>196.52</v>
      </c>
    </row>
    <row r="215" spans="1:6" x14ac:dyDescent="0.3">
      <c r="A215" s="3">
        <v>44497</v>
      </c>
      <c r="B215" s="6">
        <v>132.88</v>
      </c>
      <c r="C215" s="6">
        <v>167.09</v>
      </c>
      <c r="D215" s="6">
        <v>191.93</v>
      </c>
      <c r="E215" s="6">
        <f>E214</f>
        <v>212.47</v>
      </c>
      <c r="F215" s="6">
        <v>196.52</v>
      </c>
    </row>
    <row r="216" spans="1:6" x14ac:dyDescent="0.3">
      <c r="A216" s="2">
        <v>44498</v>
      </c>
      <c r="B216" s="6">
        <v>103.51</v>
      </c>
      <c r="C216" s="6">
        <v>130.91</v>
      </c>
      <c r="D216" s="6">
        <v>155.6</v>
      </c>
      <c r="E216" s="6">
        <f>_xlfn.XLOOKUP(A216,'[1]Price History'!$A$3:$A$946,'[1]Price History'!$K$3:$K$946)</f>
        <v>175.77</v>
      </c>
      <c r="F216" s="6">
        <v>172.48</v>
      </c>
    </row>
    <row r="217" spans="1:6" x14ac:dyDescent="0.3">
      <c r="A217" s="3">
        <v>44501</v>
      </c>
      <c r="B217" s="6">
        <v>103.51</v>
      </c>
      <c r="C217" s="6">
        <v>130.91</v>
      </c>
      <c r="D217" s="6">
        <v>155.6</v>
      </c>
      <c r="E217" s="6">
        <f>E216</f>
        <v>175.77</v>
      </c>
      <c r="F217" s="6">
        <v>172.48</v>
      </c>
    </row>
    <row r="218" spans="1:6" x14ac:dyDescent="0.3">
      <c r="A218" s="2">
        <v>44502</v>
      </c>
      <c r="B218" s="6">
        <v>103.51</v>
      </c>
      <c r="C218" s="6">
        <v>130.91</v>
      </c>
      <c r="D218" s="6">
        <v>155.6</v>
      </c>
      <c r="E218" s="6">
        <f>E217</f>
        <v>175.77</v>
      </c>
      <c r="F218" s="6">
        <v>172.48</v>
      </c>
    </row>
    <row r="219" spans="1:6" x14ac:dyDescent="0.3">
      <c r="A219" s="3">
        <v>44503</v>
      </c>
      <c r="B219" s="6">
        <v>103.51</v>
      </c>
      <c r="C219" s="6">
        <v>130.91</v>
      </c>
      <c r="D219" s="6">
        <v>155.6</v>
      </c>
      <c r="E219" s="6">
        <f>E218</f>
        <v>175.77</v>
      </c>
      <c r="F219" s="6">
        <v>172.48</v>
      </c>
    </row>
    <row r="220" spans="1:6" x14ac:dyDescent="0.3">
      <c r="A220" s="2">
        <v>44504</v>
      </c>
      <c r="B220" s="6">
        <v>103.51</v>
      </c>
      <c r="C220" s="6">
        <v>130.91</v>
      </c>
      <c r="D220" s="6">
        <v>155.6</v>
      </c>
      <c r="E220" s="6">
        <f>E219</f>
        <v>175.77</v>
      </c>
      <c r="F220" s="6">
        <v>172.48</v>
      </c>
    </row>
    <row r="221" spans="1:6" x14ac:dyDescent="0.3">
      <c r="A221" s="3">
        <v>44505</v>
      </c>
      <c r="B221" s="6">
        <v>84.19</v>
      </c>
      <c r="C221" s="6">
        <v>107.17</v>
      </c>
      <c r="D221" s="6">
        <v>122.99</v>
      </c>
      <c r="E221" s="6">
        <f>_xlfn.XLOOKUP(A221,'[1]Price History'!$A$3:$A$946,'[1]Price History'!$K$3:$K$946)</f>
        <v>136.78</v>
      </c>
      <c r="F221" s="6">
        <v>140.33000000000001</v>
      </c>
    </row>
    <row r="222" spans="1:6" x14ac:dyDescent="0.3">
      <c r="A222" s="2">
        <v>44508</v>
      </c>
      <c r="B222" s="6">
        <v>84.19</v>
      </c>
      <c r="C222" s="6">
        <v>107.17</v>
      </c>
      <c r="D222" s="6">
        <v>122.99</v>
      </c>
      <c r="E222" s="6">
        <f>E221</f>
        <v>136.78</v>
      </c>
      <c r="F222" s="6">
        <v>140.33000000000001</v>
      </c>
    </row>
    <row r="223" spans="1:6" x14ac:dyDescent="0.3">
      <c r="A223" s="3">
        <v>44509</v>
      </c>
      <c r="B223" s="6">
        <v>84.19</v>
      </c>
      <c r="C223" s="6">
        <v>107.17</v>
      </c>
      <c r="D223" s="6">
        <v>122.99</v>
      </c>
      <c r="E223" s="6">
        <f>E222</f>
        <v>136.78</v>
      </c>
      <c r="F223" s="6">
        <v>140.33000000000001</v>
      </c>
    </row>
    <row r="224" spans="1:6" x14ac:dyDescent="0.3">
      <c r="A224" s="2">
        <v>44510</v>
      </c>
      <c r="B224" s="6">
        <v>84.19</v>
      </c>
      <c r="C224" s="6">
        <v>107.17</v>
      </c>
      <c r="D224" s="6">
        <v>122.99</v>
      </c>
      <c r="E224" s="6">
        <f>E223</f>
        <v>136.78</v>
      </c>
      <c r="F224" s="6">
        <v>140.33000000000001</v>
      </c>
    </row>
    <row r="225" spans="1:6" x14ac:dyDescent="0.3">
      <c r="A225" s="3">
        <v>44511</v>
      </c>
      <c r="B225" s="6">
        <v>84.19</v>
      </c>
      <c r="C225" s="6">
        <v>107.17</v>
      </c>
      <c r="D225" s="6">
        <v>122.99</v>
      </c>
      <c r="E225" s="6">
        <f>E224</f>
        <v>136.78</v>
      </c>
      <c r="F225" s="6">
        <v>140.33000000000001</v>
      </c>
    </row>
    <row r="226" spans="1:6" x14ac:dyDescent="0.3">
      <c r="A226" s="2">
        <v>44512</v>
      </c>
      <c r="B226" s="6">
        <v>86.7</v>
      </c>
      <c r="C226" s="6">
        <v>107.14</v>
      </c>
      <c r="D226" s="6">
        <v>127.16</v>
      </c>
      <c r="E226" s="6">
        <f>_xlfn.XLOOKUP(A226,'[1]Price History'!$A$3:$A$946,'[1]Price History'!$K$3:$K$946)</f>
        <v>137.69</v>
      </c>
      <c r="F226" s="6">
        <v>132.75</v>
      </c>
    </row>
    <row r="227" spans="1:6" x14ac:dyDescent="0.3">
      <c r="A227" s="3">
        <v>44515</v>
      </c>
      <c r="B227" s="6">
        <v>86.7</v>
      </c>
      <c r="C227" s="6">
        <v>107.14</v>
      </c>
      <c r="D227" s="6">
        <v>127.16</v>
      </c>
      <c r="E227" s="6">
        <f>E226</f>
        <v>137.69</v>
      </c>
      <c r="F227" s="6">
        <v>132.75</v>
      </c>
    </row>
    <row r="228" spans="1:6" x14ac:dyDescent="0.3">
      <c r="A228" s="2">
        <v>44516</v>
      </c>
      <c r="B228" s="6">
        <v>86.7</v>
      </c>
      <c r="C228" s="6">
        <v>107.14</v>
      </c>
      <c r="D228" s="6">
        <v>127.16</v>
      </c>
      <c r="E228" s="6">
        <f>E227</f>
        <v>137.69</v>
      </c>
      <c r="F228" s="6">
        <v>132.75</v>
      </c>
    </row>
    <row r="229" spans="1:6" x14ac:dyDescent="0.3">
      <c r="A229" s="3">
        <v>44517</v>
      </c>
      <c r="B229" s="6">
        <v>86.7</v>
      </c>
      <c r="C229" s="6">
        <v>107.14</v>
      </c>
      <c r="D229" s="6">
        <v>127.16</v>
      </c>
      <c r="E229" s="6">
        <f>E228</f>
        <v>137.69</v>
      </c>
      <c r="F229" s="6">
        <v>132.75</v>
      </c>
    </row>
    <row r="230" spans="1:6" x14ac:dyDescent="0.3">
      <c r="A230" s="2">
        <v>44518</v>
      </c>
      <c r="B230" s="6">
        <v>86.7</v>
      </c>
      <c r="C230" s="6">
        <v>107.14</v>
      </c>
      <c r="D230" s="6">
        <v>127.16</v>
      </c>
      <c r="E230" s="6">
        <f>E229</f>
        <v>137.69</v>
      </c>
      <c r="F230" s="6">
        <v>132.75</v>
      </c>
    </row>
    <row r="231" spans="1:6" x14ac:dyDescent="0.3">
      <c r="A231" s="3">
        <v>44519</v>
      </c>
      <c r="B231" s="6">
        <v>81.900000000000006</v>
      </c>
      <c r="C231" s="6">
        <v>104.56</v>
      </c>
      <c r="D231" s="6">
        <v>122.32</v>
      </c>
      <c r="E231" s="6">
        <f>_xlfn.XLOOKUP(A231,'[1]Price History'!$A$3:$A$946,'[1]Price History'!$K$3:$K$946)</f>
        <v>131.43</v>
      </c>
      <c r="F231" s="6">
        <v>124.36</v>
      </c>
    </row>
    <row r="232" spans="1:6" x14ac:dyDescent="0.3">
      <c r="A232" s="2">
        <v>44522</v>
      </c>
      <c r="B232" s="6">
        <v>81.900000000000006</v>
      </c>
      <c r="C232" s="6">
        <v>104.56</v>
      </c>
      <c r="D232" s="6">
        <v>122.32</v>
      </c>
      <c r="E232" s="6">
        <f>E231</f>
        <v>131.43</v>
      </c>
      <c r="F232" s="6">
        <v>124.36</v>
      </c>
    </row>
    <row r="233" spans="1:6" x14ac:dyDescent="0.3">
      <c r="A233" s="3">
        <v>44523</v>
      </c>
      <c r="B233" s="6">
        <v>81.900000000000006</v>
      </c>
      <c r="C233" s="6">
        <v>104.56</v>
      </c>
      <c r="D233" s="6">
        <v>122.32</v>
      </c>
      <c r="E233" s="6">
        <f>E232</f>
        <v>131.43</v>
      </c>
      <c r="F233" s="6">
        <v>124.36</v>
      </c>
    </row>
    <row r="234" spans="1:6" x14ac:dyDescent="0.3">
      <c r="A234" s="2">
        <v>44524</v>
      </c>
      <c r="B234" s="6">
        <v>81.900000000000006</v>
      </c>
      <c r="C234" s="6">
        <v>104.56</v>
      </c>
      <c r="D234" s="6">
        <v>122.32</v>
      </c>
      <c r="E234" s="6">
        <f>E233</f>
        <v>131.43</v>
      </c>
      <c r="F234" s="6">
        <v>124.36</v>
      </c>
    </row>
    <row r="235" spans="1:6" x14ac:dyDescent="0.3">
      <c r="A235" s="3">
        <v>44525</v>
      </c>
      <c r="B235" s="6">
        <v>81.900000000000006</v>
      </c>
      <c r="C235" s="6">
        <v>104.56</v>
      </c>
      <c r="D235" s="6">
        <v>122.32</v>
      </c>
      <c r="E235" s="6">
        <f>E234</f>
        <v>131.43</v>
      </c>
      <c r="F235" s="6">
        <v>124.36</v>
      </c>
    </row>
    <row r="236" spans="1:6" x14ac:dyDescent="0.3">
      <c r="A236" s="2">
        <v>44526</v>
      </c>
      <c r="B236" s="6">
        <v>101.1</v>
      </c>
      <c r="C236" s="6">
        <v>129.26</v>
      </c>
      <c r="D236" s="6">
        <v>148.16999999999999</v>
      </c>
      <c r="E236" s="6">
        <f>_xlfn.XLOOKUP(A236,'[1]Price History'!$A$3:$A$946,'[1]Price History'!$K$3:$K$946)</f>
        <v>158.30000000000001</v>
      </c>
      <c r="F236" s="6">
        <v>135.53</v>
      </c>
    </row>
    <row r="237" spans="1:6" x14ac:dyDescent="0.3">
      <c r="A237" s="3">
        <v>44529</v>
      </c>
      <c r="B237" s="6">
        <v>101.1</v>
      </c>
      <c r="C237" s="6">
        <v>129.26</v>
      </c>
      <c r="D237" s="6">
        <v>148.16999999999999</v>
      </c>
      <c r="E237" s="6">
        <f>E236</f>
        <v>158.30000000000001</v>
      </c>
      <c r="F237" s="6">
        <v>135.53</v>
      </c>
    </row>
    <row r="238" spans="1:6" x14ac:dyDescent="0.3">
      <c r="A238" s="2">
        <v>44530</v>
      </c>
      <c r="B238" s="6">
        <v>101.1</v>
      </c>
      <c r="C238" s="6">
        <v>129.26</v>
      </c>
      <c r="D238" s="6">
        <v>148.16999999999999</v>
      </c>
      <c r="E238" s="6">
        <f>E237</f>
        <v>158.30000000000001</v>
      </c>
      <c r="F238" s="6">
        <v>135.53</v>
      </c>
    </row>
    <row r="239" spans="1:6" x14ac:dyDescent="0.3">
      <c r="A239" s="3">
        <v>44531</v>
      </c>
      <c r="B239" s="6">
        <v>101.1</v>
      </c>
      <c r="C239" s="6">
        <v>129.26</v>
      </c>
      <c r="D239" s="6">
        <v>148.16999999999999</v>
      </c>
      <c r="E239" s="6">
        <f>E238</f>
        <v>158.30000000000001</v>
      </c>
      <c r="F239" s="6">
        <v>135.53</v>
      </c>
    </row>
    <row r="240" spans="1:6" x14ac:dyDescent="0.3">
      <c r="A240" s="2">
        <v>44532</v>
      </c>
      <c r="B240" s="6">
        <v>101.1</v>
      </c>
      <c r="C240" s="6">
        <v>129.26</v>
      </c>
      <c r="D240" s="6">
        <v>148.16999999999999</v>
      </c>
      <c r="E240" s="6">
        <f>E239</f>
        <v>158.30000000000001</v>
      </c>
      <c r="F240" s="6">
        <v>135.53</v>
      </c>
    </row>
    <row r="241" spans="1:6" x14ac:dyDescent="0.3">
      <c r="A241" s="3">
        <v>44533</v>
      </c>
      <c r="B241" s="6">
        <v>77.98</v>
      </c>
      <c r="C241" s="6">
        <v>99.91</v>
      </c>
      <c r="D241" s="6">
        <v>120.15</v>
      </c>
      <c r="E241" s="6">
        <f>_xlfn.XLOOKUP(A241,'[1]Price History'!$A$3:$A$946,'[1]Price History'!$K$3:$K$946)</f>
        <v>128.44</v>
      </c>
      <c r="F241" s="6">
        <v>123.95</v>
      </c>
    </row>
    <row r="242" spans="1:6" x14ac:dyDescent="0.3">
      <c r="A242" s="2">
        <v>44536</v>
      </c>
      <c r="B242" s="6">
        <v>77.98</v>
      </c>
      <c r="C242" s="6">
        <v>99.91</v>
      </c>
      <c r="D242" s="6">
        <v>120.15</v>
      </c>
      <c r="E242" s="6">
        <f>E241</f>
        <v>128.44</v>
      </c>
      <c r="F242" s="6">
        <v>123.95</v>
      </c>
    </row>
    <row r="243" spans="1:6" x14ac:dyDescent="0.3">
      <c r="A243" s="3">
        <v>44537</v>
      </c>
      <c r="B243" s="6">
        <v>77.98</v>
      </c>
      <c r="C243" s="6">
        <v>99.91</v>
      </c>
      <c r="D243" s="6">
        <v>120.15</v>
      </c>
      <c r="E243" s="6">
        <f>E242</f>
        <v>128.44</v>
      </c>
      <c r="F243" s="6">
        <v>123.95</v>
      </c>
    </row>
    <row r="244" spans="1:6" x14ac:dyDescent="0.3">
      <c r="A244" s="2">
        <v>44538</v>
      </c>
      <c r="B244" s="6">
        <v>77.98</v>
      </c>
      <c r="C244" s="6">
        <v>99.91</v>
      </c>
      <c r="D244" s="6">
        <v>120.15</v>
      </c>
      <c r="E244" s="6">
        <f>E243</f>
        <v>128.44</v>
      </c>
      <c r="F244" s="6">
        <v>123.95</v>
      </c>
    </row>
    <row r="245" spans="1:6" x14ac:dyDescent="0.3">
      <c r="A245" s="3">
        <v>44539</v>
      </c>
      <c r="B245" s="6">
        <v>77.98</v>
      </c>
      <c r="C245" s="6">
        <v>99.91</v>
      </c>
      <c r="D245" s="6">
        <v>120.15</v>
      </c>
      <c r="E245" s="6">
        <f>E244</f>
        <v>128.44</v>
      </c>
      <c r="F245" s="6">
        <v>123.95</v>
      </c>
    </row>
    <row r="246" spans="1:6" x14ac:dyDescent="0.3">
      <c r="A246" s="2">
        <v>44540</v>
      </c>
      <c r="B246" s="6">
        <v>83.41</v>
      </c>
      <c r="C246" s="6">
        <v>106.41</v>
      </c>
      <c r="D246" s="6">
        <v>126.08</v>
      </c>
      <c r="E246" s="6">
        <f>_xlfn.XLOOKUP(A246,'[1]Price History'!$A$3:$A$946,'[1]Price History'!$K$3:$K$946)</f>
        <v>132.66999999999999</v>
      </c>
      <c r="F246" s="6">
        <v>126</v>
      </c>
    </row>
    <row r="247" spans="1:6" x14ac:dyDescent="0.3">
      <c r="A247" s="3">
        <v>44543</v>
      </c>
      <c r="B247" s="6">
        <v>83.41</v>
      </c>
      <c r="C247" s="6">
        <v>106.41</v>
      </c>
      <c r="D247" s="6">
        <v>126.08</v>
      </c>
      <c r="E247" s="6">
        <f>E246</f>
        <v>132.66999999999999</v>
      </c>
      <c r="F247" s="6">
        <v>126</v>
      </c>
    </row>
    <row r="248" spans="1:6" x14ac:dyDescent="0.3">
      <c r="A248" s="2">
        <v>44544</v>
      </c>
      <c r="B248" s="6">
        <v>83.41</v>
      </c>
      <c r="C248" s="6">
        <v>106.41</v>
      </c>
      <c r="D248" s="6">
        <v>126.08</v>
      </c>
      <c r="E248" s="6">
        <f>E247</f>
        <v>132.66999999999999</v>
      </c>
      <c r="F248" s="6">
        <v>126</v>
      </c>
    </row>
    <row r="249" spans="1:6" x14ac:dyDescent="0.3">
      <c r="A249" s="3">
        <v>44545</v>
      </c>
      <c r="B249" s="6">
        <v>83.41</v>
      </c>
      <c r="C249" s="6">
        <v>106.41</v>
      </c>
      <c r="D249" s="6">
        <v>126.08</v>
      </c>
      <c r="E249" s="6">
        <f>E248</f>
        <v>132.66999999999999</v>
      </c>
      <c r="F249" s="6">
        <v>126</v>
      </c>
    </row>
    <row r="250" spans="1:6" x14ac:dyDescent="0.3">
      <c r="A250" s="2">
        <v>44546</v>
      </c>
      <c r="B250" s="6">
        <v>83.41</v>
      </c>
      <c r="C250" s="6">
        <v>106.41</v>
      </c>
      <c r="D250" s="6">
        <v>126.08</v>
      </c>
      <c r="E250" s="6">
        <f>E249</f>
        <v>132.66999999999999</v>
      </c>
      <c r="F250" s="6">
        <v>126</v>
      </c>
    </row>
    <row r="251" spans="1:6" x14ac:dyDescent="0.3">
      <c r="A251" s="3">
        <v>44547</v>
      </c>
      <c r="B251" s="6">
        <v>91.4</v>
      </c>
      <c r="C251" s="6">
        <v>115.27</v>
      </c>
      <c r="D251" s="6">
        <v>135.33000000000001</v>
      </c>
      <c r="E251" s="6">
        <f>_xlfn.XLOOKUP(A251,'[1]Price History'!$A$3:$A$946,'[1]Price History'!$K$3:$K$946)</f>
        <v>145.76</v>
      </c>
      <c r="F251" s="6">
        <v>123.63</v>
      </c>
    </row>
    <row r="252" spans="1:6" x14ac:dyDescent="0.3">
      <c r="A252" s="2">
        <v>44550</v>
      </c>
      <c r="B252" s="6">
        <v>91.4</v>
      </c>
      <c r="C252" s="6">
        <v>115.27</v>
      </c>
      <c r="D252" s="6">
        <v>135.33000000000001</v>
      </c>
      <c r="E252" s="6">
        <f>E251</f>
        <v>145.76</v>
      </c>
      <c r="F252" s="6">
        <v>123.63</v>
      </c>
    </row>
    <row r="253" spans="1:6" x14ac:dyDescent="0.3">
      <c r="A253" s="3">
        <v>44551</v>
      </c>
      <c r="B253" s="6">
        <v>91.4</v>
      </c>
      <c r="C253" s="6">
        <v>115.27</v>
      </c>
      <c r="D253" s="6">
        <v>135.33000000000001</v>
      </c>
      <c r="E253" s="6">
        <f>E252</f>
        <v>145.76</v>
      </c>
      <c r="F253" s="6">
        <v>123.63</v>
      </c>
    </row>
    <row r="254" spans="1:6" x14ac:dyDescent="0.3">
      <c r="A254" s="2">
        <v>44552</v>
      </c>
      <c r="B254" s="6">
        <v>91.4</v>
      </c>
      <c r="C254" s="6">
        <v>115.27</v>
      </c>
      <c r="D254" s="6">
        <v>135.33000000000001</v>
      </c>
      <c r="E254" s="6">
        <f>E253</f>
        <v>145.76</v>
      </c>
      <c r="F254" s="6">
        <v>123.63</v>
      </c>
    </row>
    <row r="255" spans="1:6" x14ac:dyDescent="0.3">
      <c r="A255" s="3">
        <v>44553</v>
      </c>
      <c r="B255" s="6">
        <v>91.4</v>
      </c>
      <c r="C255" s="6">
        <v>115.27</v>
      </c>
      <c r="D255" s="6">
        <v>135.33000000000001</v>
      </c>
      <c r="E255" s="6">
        <f>E254</f>
        <v>145.76</v>
      </c>
      <c r="F255" s="6">
        <v>123.63</v>
      </c>
    </row>
    <row r="256" spans="1:6" x14ac:dyDescent="0.3">
      <c r="A256" s="2">
        <v>44554</v>
      </c>
      <c r="B256" s="6">
        <v>90.92</v>
      </c>
      <c r="C256" s="6">
        <v>115.6</v>
      </c>
      <c r="D256" s="6">
        <v>138.08000000000001</v>
      </c>
      <c r="E256" s="6">
        <f>_xlfn.XLOOKUP(A256,'[1]Price History'!$A$3:$A$946,'[1]Price History'!$K$3:$K$946)</f>
        <v>147.24</v>
      </c>
      <c r="F256" s="6">
        <v>130.54</v>
      </c>
    </row>
    <row r="257" spans="1:6" x14ac:dyDescent="0.3">
      <c r="A257" s="3">
        <v>44557</v>
      </c>
      <c r="B257" s="6"/>
      <c r="C257" s="6"/>
      <c r="D257" s="6"/>
      <c r="E257" s="6">
        <f>E256</f>
        <v>147.24</v>
      </c>
      <c r="F257" s="6"/>
    </row>
    <row r="258" spans="1:6" x14ac:dyDescent="0.3">
      <c r="A258" s="2">
        <v>44558</v>
      </c>
      <c r="B258" s="6"/>
      <c r="C258" s="6"/>
      <c r="D258" s="6"/>
      <c r="E258" s="6">
        <f>E257</f>
        <v>147.24</v>
      </c>
      <c r="F258" s="6"/>
    </row>
    <row r="259" spans="1:6" x14ac:dyDescent="0.3">
      <c r="A259" s="3">
        <v>44559</v>
      </c>
      <c r="B259" s="6">
        <v>90.92</v>
      </c>
      <c r="C259" s="6">
        <v>115.6</v>
      </c>
      <c r="D259" s="6">
        <v>138.08000000000001</v>
      </c>
      <c r="E259" s="6">
        <f>E258</f>
        <v>147.24</v>
      </c>
      <c r="F259" s="6">
        <v>130.54</v>
      </c>
    </row>
    <row r="260" spans="1:6" x14ac:dyDescent="0.3">
      <c r="A260" s="2">
        <v>44560</v>
      </c>
      <c r="B260" s="6">
        <v>90.92</v>
      </c>
      <c r="C260" s="6">
        <v>115.6</v>
      </c>
      <c r="D260" s="6">
        <v>138.08000000000001</v>
      </c>
      <c r="E260" s="6">
        <f>E259</f>
        <v>147.24</v>
      </c>
      <c r="F260" s="6">
        <v>130.54</v>
      </c>
    </row>
    <row r="261" spans="1:6" x14ac:dyDescent="0.3">
      <c r="A261" s="3">
        <v>44561</v>
      </c>
      <c r="B261" s="6">
        <v>75.540000000000006</v>
      </c>
      <c r="C261" s="6">
        <v>97.28</v>
      </c>
      <c r="D261" s="6">
        <v>115.55</v>
      </c>
      <c r="E261" s="6">
        <f>_xlfn.XLOOKUP(A261,'[1]Price History'!$A$3:$A$946,'[1]Price History'!$K$3:$K$946)</f>
        <v>125.65</v>
      </c>
      <c r="F261" s="6">
        <v>125.77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24D-19E8-41D1-BB5E-D628858ADFD4}">
  <dimension ref="A1:F257"/>
  <sheetViews>
    <sheetView workbookViewId="0">
      <selection activeCell="J10" sqref="J10"/>
    </sheetView>
  </sheetViews>
  <sheetFormatPr defaultRowHeight="14.4" x14ac:dyDescent="0.3"/>
  <cols>
    <col min="1" max="1" width="11.5546875" bestFit="1" customWidth="1"/>
    <col min="2" max="6" width="17" customWidth="1"/>
  </cols>
  <sheetData>
    <row r="1" spans="1:6" s="5" customFormat="1" ht="72" x14ac:dyDescent="0.3">
      <c r="A1" s="1"/>
      <c r="B1" s="4" t="s">
        <v>0</v>
      </c>
      <c r="C1" s="4" t="s">
        <v>1</v>
      </c>
      <c r="D1" s="4" t="s">
        <v>2</v>
      </c>
      <c r="E1" s="4" t="s">
        <v>6</v>
      </c>
      <c r="F1" s="4" t="s">
        <v>3</v>
      </c>
    </row>
    <row r="2" spans="1:6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3">
      <c r="A3" s="2">
        <v>44564</v>
      </c>
      <c r="B3" s="6"/>
      <c r="C3" s="6"/>
      <c r="D3" s="6"/>
      <c r="E3" s="6">
        <f>'2021'!E261</f>
        <v>125.65</v>
      </c>
      <c r="F3" s="6"/>
    </row>
    <row r="4" spans="1:6" x14ac:dyDescent="0.3">
      <c r="A4" s="3">
        <v>44565</v>
      </c>
      <c r="B4" s="6">
        <v>75.540000000000006</v>
      </c>
      <c r="C4" s="6">
        <v>97.28</v>
      </c>
      <c r="D4" s="6">
        <v>115.55</v>
      </c>
      <c r="E4" s="6">
        <f>E3</f>
        <v>125.65</v>
      </c>
      <c r="F4" s="6">
        <v>125.77</v>
      </c>
    </row>
    <row r="5" spans="1:6" x14ac:dyDescent="0.3">
      <c r="A5" s="2">
        <v>44566</v>
      </c>
      <c r="B5" s="6">
        <v>75.540000000000006</v>
      </c>
      <c r="C5" s="6">
        <v>97.28</v>
      </c>
      <c r="D5" s="6">
        <v>115.55</v>
      </c>
      <c r="E5" s="6">
        <f>E4</f>
        <v>125.65</v>
      </c>
      <c r="F5" s="6">
        <v>125.77</v>
      </c>
    </row>
    <row r="6" spans="1:6" x14ac:dyDescent="0.3">
      <c r="A6" s="3">
        <v>44567</v>
      </c>
      <c r="B6" s="6">
        <v>75.540000000000006</v>
      </c>
      <c r="C6" s="6">
        <v>97.28</v>
      </c>
      <c r="D6" s="6">
        <v>115.55</v>
      </c>
      <c r="E6" s="6">
        <f>E5</f>
        <v>125.65</v>
      </c>
      <c r="F6" s="6">
        <v>125.77</v>
      </c>
    </row>
    <row r="7" spans="1:6" x14ac:dyDescent="0.3">
      <c r="A7" s="2">
        <v>44568</v>
      </c>
      <c r="B7" s="6">
        <v>87.11</v>
      </c>
      <c r="C7" s="6">
        <v>110.04</v>
      </c>
      <c r="D7" s="6">
        <v>128.79</v>
      </c>
      <c r="E7" s="6">
        <f>_xlfn.XLOOKUP(A7,'[1]Price History'!$A$3:$A$946,'[1]Price History'!$K$3:$K$946)</f>
        <v>143.52000000000001</v>
      </c>
      <c r="F7" s="6">
        <v>138.80000000000001</v>
      </c>
    </row>
    <row r="8" spans="1:6" x14ac:dyDescent="0.3">
      <c r="A8" s="3">
        <v>44571</v>
      </c>
      <c r="B8" s="6">
        <v>87.11</v>
      </c>
      <c r="C8" s="6">
        <v>110.04</v>
      </c>
      <c r="D8" s="6">
        <v>128.79</v>
      </c>
      <c r="E8" s="6">
        <f>E7</f>
        <v>143.52000000000001</v>
      </c>
      <c r="F8" s="6">
        <v>138.80000000000001</v>
      </c>
    </row>
    <row r="9" spans="1:6" x14ac:dyDescent="0.3">
      <c r="A9" s="2">
        <v>44572</v>
      </c>
      <c r="B9" s="6">
        <v>87.11</v>
      </c>
      <c r="C9" s="6">
        <v>110.04</v>
      </c>
      <c r="D9" s="6">
        <v>128.79</v>
      </c>
      <c r="E9" s="6">
        <f>E8</f>
        <v>143.52000000000001</v>
      </c>
      <c r="F9" s="6">
        <v>138.80000000000001</v>
      </c>
    </row>
    <row r="10" spans="1:6" x14ac:dyDescent="0.3">
      <c r="A10" s="3">
        <v>44573</v>
      </c>
      <c r="B10" s="6">
        <v>87.11</v>
      </c>
      <c r="C10" s="6">
        <v>110.04</v>
      </c>
      <c r="D10" s="6">
        <v>128.79</v>
      </c>
      <c r="E10" s="6">
        <f>E9</f>
        <v>143.52000000000001</v>
      </c>
      <c r="F10" s="6">
        <v>138.80000000000001</v>
      </c>
    </row>
    <row r="11" spans="1:6" x14ac:dyDescent="0.3">
      <c r="A11" s="2">
        <v>44574</v>
      </c>
      <c r="B11" s="6">
        <v>87.11</v>
      </c>
      <c r="C11" s="6">
        <v>110.04</v>
      </c>
      <c r="D11" s="6">
        <v>128.79</v>
      </c>
      <c r="E11" s="6">
        <f>E10</f>
        <v>143.52000000000001</v>
      </c>
      <c r="F11" s="6">
        <v>138.80000000000001</v>
      </c>
    </row>
    <row r="12" spans="1:6" x14ac:dyDescent="0.3">
      <c r="A12" s="3">
        <v>44575</v>
      </c>
      <c r="B12" s="6">
        <v>96.51</v>
      </c>
      <c r="C12" s="6">
        <v>126.32</v>
      </c>
      <c r="D12" s="6">
        <v>139.82</v>
      </c>
      <c r="E12" s="6">
        <f>_xlfn.XLOOKUP(A12,'[1]Price History'!$A$3:$A$946,'[1]Price History'!$K$3:$K$946)</f>
        <v>162.57</v>
      </c>
      <c r="F12" s="6">
        <v>147.83000000000001</v>
      </c>
    </row>
    <row r="13" spans="1:6" x14ac:dyDescent="0.3">
      <c r="A13" s="2">
        <v>44578</v>
      </c>
      <c r="B13" s="6">
        <v>96.51</v>
      </c>
      <c r="C13" s="6">
        <v>126.32</v>
      </c>
      <c r="D13" s="6">
        <v>139.82</v>
      </c>
      <c r="E13" s="6">
        <f>E12</f>
        <v>162.57</v>
      </c>
      <c r="F13" s="6">
        <v>147.83000000000001</v>
      </c>
    </row>
    <row r="14" spans="1:6" x14ac:dyDescent="0.3">
      <c r="A14" s="3">
        <v>44579</v>
      </c>
      <c r="B14" s="6">
        <v>96.51</v>
      </c>
      <c r="C14" s="6">
        <v>126.32</v>
      </c>
      <c r="D14" s="6">
        <v>139.82</v>
      </c>
      <c r="E14" s="6">
        <f>E13</f>
        <v>162.57</v>
      </c>
      <c r="F14" s="6">
        <v>147.83000000000001</v>
      </c>
    </row>
    <row r="15" spans="1:6" x14ac:dyDescent="0.3">
      <c r="A15" s="2">
        <v>44580</v>
      </c>
      <c r="B15" s="6">
        <v>96.51</v>
      </c>
      <c r="C15" s="6">
        <v>126.32</v>
      </c>
      <c r="D15" s="6">
        <v>139.82</v>
      </c>
      <c r="E15" s="6">
        <f>E14</f>
        <v>162.57</v>
      </c>
      <c r="F15" s="6">
        <v>147.83000000000001</v>
      </c>
    </row>
    <row r="16" spans="1:6" x14ac:dyDescent="0.3">
      <c r="A16" s="3">
        <v>44581</v>
      </c>
      <c r="B16" s="6">
        <v>96.51</v>
      </c>
      <c r="C16" s="6">
        <v>126.32</v>
      </c>
      <c r="D16" s="6">
        <v>139.82</v>
      </c>
      <c r="E16" s="6">
        <f>E15</f>
        <v>162.57</v>
      </c>
      <c r="F16" s="6">
        <v>147.83000000000001</v>
      </c>
    </row>
    <row r="17" spans="1:6" x14ac:dyDescent="0.3">
      <c r="A17" s="2">
        <v>44582</v>
      </c>
      <c r="B17" s="6">
        <v>114.04</v>
      </c>
      <c r="C17" s="6">
        <v>138.43</v>
      </c>
      <c r="D17" s="6">
        <v>158.47</v>
      </c>
      <c r="E17" s="6">
        <f>_xlfn.XLOOKUP(A17,'[1]Price History'!$A$3:$A$946,'[1]Price History'!$K$3:$K$946)</f>
        <v>182.55</v>
      </c>
      <c r="F17" s="6">
        <v>159.43</v>
      </c>
    </row>
    <row r="18" spans="1:6" x14ac:dyDescent="0.3">
      <c r="A18" s="3">
        <v>44585</v>
      </c>
      <c r="B18" s="6">
        <v>114.04</v>
      </c>
      <c r="C18" s="6">
        <v>138.43</v>
      </c>
      <c r="D18" s="6">
        <v>158.47</v>
      </c>
      <c r="E18" s="6">
        <f>E17</f>
        <v>182.55</v>
      </c>
      <c r="F18" s="6">
        <v>159.43</v>
      </c>
    </row>
    <row r="19" spans="1:6" x14ac:dyDescent="0.3">
      <c r="A19" s="2">
        <v>44586</v>
      </c>
      <c r="B19" s="6">
        <v>114.04</v>
      </c>
      <c r="C19" s="6">
        <v>138.43</v>
      </c>
      <c r="D19" s="6">
        <v>158.47</v>
      </c>
      <c r="E19" s="6">
        <f>E18</f>
        <v>182.55</v>
      </c>
      <c r="F19" s="6">
        <v>159.43</v>
      </c>
    </row>
    <row r="20" spans="1:6" x14ac:dyDescent="0.3">
      <c r="A20" s="3">
        <v>44587</v>
      </c>
      <c r="B20" s="6">
        <v>114.04</v>
      </c>
      <c r="C20" s="6">
        <v>138.43</v>
      </c>
      <c r="D20" s="6">
        <v>158.47</v>
      </c>
      <c r="E20" s="6">
        <f>E19</f>
        <v>182.55</v>
      </c>
      <c r="F20" s="6">
        <v>159.43</v>
      </c>
    </row>
    <row r="21" spans="1:6" x14ac:dyDescent="0.3">
      <c r="A21" s="2">
        <v>44588</v>
      </c>
      <c r="B21" s="6">
        <v>114.04</v>
      </c>
      <c r="C21" s="6">
        <v>138.43</v>
      </c>
      <c r="D21" s="6">
        <v>158.47</v>
      </c>
      <c r="E21" s="6">
        <f>E20</f>
        <v>182.55</v>
      </c>
      <c r="F21" s="6">
        <v>159.43</v>
      </c>
    </row>
    <row r="22" spans="1:6" x14ac:dyDescent="0.3">
      <c r="A22" s="3">
        <v>44589</v>
      </c>
      <c r="B22" s="6">
        <v>125.83</v>
      </c>
      <c r="C22" s="6">
        <v>148.91</v>
      </c>
      <c r="D22" s="6">
        <v>173.55</v>
      </c>
      <c r="E22" s="6">
        <f>_xlfn.XLOOKUP(A22,'[1]Price History'!$A$3:$A$946,'[1]Price History'!$K$3:$K$946)</f>
        <v>201.3</v>
      </c>
      <c r="F22" s="6">
        <v>165.91</v>
      </c>
    </row>
    <row r="23" spans="1:6" x14ac:dyDescent="0.3">
      <c r="A23" s="2">
        <v>44592</v>
      </c>
      <c r="B23" s="6">
        <v>125.83</v>
      </c>
      <c r="C23" s="6">
        <v>148.91</v>
      </c>
      <c r="D23" s="6">
        <v>173.55</v>
      </c>
      <c r="E23" s="6">
        <f>E22</f>
        <v>201.3</v>
      </c>
      <c r="F23" s="6">
        <v>165.91</v>
      </c>
    </row>
    <row r="24" spans="1:6" x14ac:dyDescent="0.3">
      <c r="A24" s="3">
        <v>44593</v>
      </c>
      <c r="B24" s="6">
        <v>125.83</v>
      </c>
      <c r="C24" s="6">
        <v>148.91</v>
      </c>
      <c r="D24" s="6">
        <v>173.55</v>
      </c>
      <c r="E24" s="6">
        <f>E23</f>
        <v>201.3</v>
      </c>
      <c r="F24" s="6">
        <v>165.91</v>
      </c>
    </row>
    <row r="25" spans="1:6" x14ac:dyDescent="0.3">
      <c r="A25" s="2">
        <v>44594</v>
      </c>
      <c r="B25" s="6">
        <v>125.83</v>
      </c>
      <c r="C25" s="6">
        <v>148.91</v>
      </c>
      <c r="D25" s="6">
        <v>173.55</v>
      </c>
      <c r="E25" s="6">
        <f>E24</f>
        <v>201.3</v>
      </c>
      <c r="F25" s="6">
        <v>165.91</v>
      </c>
    </row>
    <row r="26" spans="1:6" x14ac:dyDescent="0.3">
      <c r="A26" s="3">
        <v>44595</v>
      </c>
      <c r="B26" s="6">
        <v>125.83</v>
      </c>
      <c r="C26" s="6">
        <v>148.91</v>
      </c>
      <c r="D26" s="6">
        <v>173.55</v>
      </c>
      <c r="E26" s="6">
        <f>E25</f>
        <v>201.3</v>
      </c>
      <c r="F26" s="6">
        <v>165.91</v>
      </c>
    </row>
    <row r="27" spans="1:6" x14ac:dyDescent="0.3">
      <c r="A27" s="2">
        <v>44596</v>
      </c>
      <c r="B27" s="6">
        <v>109</v>
      </c>
      <c r="C27" s="6">
        <v>138.88999999999999</v>
      </c>
      <c r="D27" s="6">
        <v>153.16</v>
      </c>
      <c r="E27" s="6">
        <f>_xlfn.XLOOKUP(A27,'[1]Price History'!$A$3:$A$946,'[1]Price History'!$K$3:$K$946)</f>
        <v>183.78</v>
      </c>
      <c r="F27" s="6">
        <v>169.78</v>
      </c>
    </row>
    <row r="28" spans="1:6" x14ac:dyDescent="0.3">
      <c r="A28" s="3">
        <v>44599</v>
      </c>
      <c r="B28" s="6">
        <v>109</v>
      </c>
      <c r="C28" s="6">
        <v>138.88999999999999</v>
      </c>
      <c r="D28" s="6">
        <v>153.16</v>
      </c>
      <c r="E28" s="6">
        <f>E27</f>
        <v>183.78</v>
      </c>
      <c r="F28" s="6">
        <v>169.78</v>
      </c>
    </row>
    <row r="29" spans="1:6" x14ac:dyDescent="0.3">
      <c r="A29" s="2">
        <v>44600</v>
      </c>
      <c r="B29" s="6">
        <v>109</v>
      </c>
      <c r="C29" s="6">
        <v>138.88999999999999</v>
      </c>
      <c r="D29" s="6">
        <v>153.16</v>
      </c>
      <c r="E29" s="6">
        <f>E28</f>
        <v>183.78</v>
      </c>
      <c r="F29" s="6">
        <v>169.78</v>
      </c>
    </row>
    <row r="30" spans="1:6" x14ac:dyDescent="0.3">
      <c r="A30" s="3">
        <v>44601</v>
      </c>
      <c r="B30" s="6">
        <v>109</v>
      </c>
      <c r="C30" s="6">
        <v>138.88999999999999</v>
      </c>
      <c r="D30" s="6">
        <v>153.16</v>
      </c>
      <c r="E30" s="6">
        <f>E29</f>
        <v>183.78</v>
      </c>
      <c r="F30" s="6">
        <v>169.78</v>
      </c>
    </row>
    <row r="31" spans="1:6" x14ac:dyDescent="0.3">
      <c r="A31" s="2">
        <v>44602</v>
      </c>
      <c r="B31" s="6">
        <v>109</v>
      </c>
      <c r="C31" s="6">
        <v>138.88999999999999</v>
      </c>
      <c r="D31" s="6">
        <v>153.16</v>
      </c>
      <c r="E31" s="6">
        <f>E30</f>
        <v>183.78</v>
      </c>
      <c r="F31" s="6">
        <v>169.78</v>
      </c>
    </row>
    <row r="32" spans="1:6" x14ac:dyDescent="0.3">
      <c r="A32" s="3">
        <v>44603</v>
      </c>
      <c r="B32" s="6">
        <v>124.66</v>
      </c>
      <c r="C32" s="6">
        <v>160.72</v>
      </c>
      <c r="D32" s="6">
        <v>180.32</v>
      </c>
      <c r="E32" s="6">
        <f>_xlfn.XLOOKUP(A32,'[1]Price History'!$A$3:$A$946,'[1]Price History'!$K$3:$K$946)</f>
        <v>201.98</v>
      </c>
      <c r="F32" s="6">
        <v>180.38</v>
      </c>
    </row>
    <row r="33" spans="1:6" x14ac:dyDescent="0.3">
      <c r="A33" s="2">
        <v>44606</v>
      </c>
      <c r="B33" s="6">
        <v>124.66</v>
      </c>
      <c r="C33" s="6">
        <v>160.72</v>
      </c>
      <c r="D33" s="6">
        <v>180.32</v>
      </c>
      <c r="E33" s="6">
        <f>E32</f>
        <v>201.98</v>
      </c>
      <c r="F33" s="6">
        <v>180.38</v>
      </c>
    </row>
    <row r="34" spans="1:6" x14ac:dyDescent="0.3">
      <c r="A34" s="3">
        <v>44607</v>
      </c>
      <c r="B34" s="6">
        <v>124.66</v>
      </c>
      <c r="C34" s="6">
        <v>160.72</v>
      </c>
      <c r="D34" s="6">
        <v>180.32</v>
      </c>
      <c r="E34" s="6">
        <f>E33</f>
        <v>201.98</v>
      </c>
      <c r="F34" s="6">
        <v>180.38</v>
      </c>
    </row>
    <row r="35" spans="1:6" x14ac:dyDescent="0.3">
      <c r="A35" s="2">
        <v>44608</v>
      </c>
      <c r="B35" s="6">
        <v>124.66</v>
      </c>
      <c r="C35" s="6">
        <v>160.72</v>
      </c>
      <c r="D35" s="6">
        <v>180.32</v>
      </c>
      <c r="E35" s="6">
        <f>E34</f>
        <v>201.98</v>
      </c>
      <c r="F35" s="6">
        <v>180.38</v>
      </c>
    </row>
    <row r="36" spans="1:6" x14ac:dyDescent="0.3">
      <c r="A36" s="3">
        <v>44609</v>
      </c>
      <c r="B36" s="6">
        <v>124.66</v>
      </c>
      <c r="C36" s="6">
        <v>160.72</v>
      </c>
      <c r="D36" s="6">
        <v>180.32</v>
      </c>
      <c r="E36" s="6">
        <f>E35</f>
        <v>201.98</v>
      </c>
      <c r="F36" s="6">
        <v>180.38</v>
      </c>
    </row>
    <row r="37" spans="1:6" x14ac:dyDescent="0.3">
      <c r="A37" s="2">
        <v>44610</v>
      </c>
      <c r="B37" s="6">
        <v>128.49</v>
      </c>
      <c r="C37" s="6">
        <v>162.33000000000001</v>
      </c>
      <c r="D37" s="6">
        <v>181.9</v>
      </c>
      <c r="E37" s="6">
        <f>_xlfn.XLOOKUP(A37,'[1]Price History'!$A$3:$A$946,'[1]Price History'!$K$3:$K$946)</f>
        <v>211.52</v>
      </c>
      <c r="F37" s="6">
        <v>183.03</v>
      </c>
    </row>
    <row r="38" spans="1:6" x14ac:dyDescent="0.3">
      <c r="A38" s="3">
        <v>44613</v>
      </c>
      <c r="B38" s="6">
        <v>128.49</v>
      </c>
      <c r="C38" s="6">
        <v>162.33000000000001</v>
      </c>
      <c r="D38" s="6">
        <v>181.9</v>
      </c>
      <c r="E38" s="6">
        <f>E37</f>
        <v>211.52</v>
      </c>
      <c r="F38" s="6">
        <v>183.03</v>
      </c>
    </row>
    <row r="39" spans="1:6" x14ac:dyDescent="0.3">
      <c r="A39" s="2">
        <v>44614</v>
      </c>
      <c r="B39" s="6">
        <v>128.49</v>
      </c>
      <c r="C39" s="6">
        <v>162.33000000000001</v>
      </c>
      <c r="D39" s="6">
        <v>181.9</v>
      </c>
      <c r="E39" s="6">
        <f>E38</f>
        <v>211.52</v>
      </c>
      <c r="F39" s="6">
        <v>183.03</v>
      </c>
    </row>
    <row r="40" spans="1:6" x14ac:dyDescent="0.3">
      <c r="A40" s="3">
        <v>44615</v>
      </c>
      <c r="B40" s="6">
        <v>128.49</v>
      </c>
      <c r="C40" s="6">
        <v>162.33000000000001</v>
      </c>
      <c r="D40" s="6">
        <v>181.9</v>
      </c>
      <c r="E40" s="6">
        <f>E39</f>
        <v>211.52</v>
      </c>
      <c r="F40" s="6">
        <v>183.03</v>
      </c>
    </row>
    <row r="41" spans="1:6" x14ac:dyDescent="0.3">
      <c r="A41" s="2">
        <v>44616</v>
      </c>
      <c r="B41" s="6">
        <v>128.49</v>
      </c>
      <c r="C41" s="6">
        <v>162.33000000000001</v>
      </c>
      <c r="D41" s="6">
        <v>181.9</v>
      </c>
      <c r="E41" s="6">
        <f>E40</f>
        <v>211.52</v>
      </c>
      <c r="F41" s="6">
        <v>183.03</v>
      </c>
    </row>
    <row r="42" spans="1:6" x14ac:dyDescent="0.3">
      <c r="A42" s="3">
        <v>44617</v>
      </c>
      <c r="B42" s="6">
        <v>151.27000000000001</v>
      </c>
      <c r="C42" s="6">
        <v>189</v>
      </c>
      <c r="D42" s="6">
        <v>216.37</v>
      </c>
      <c r="E42" s="6">
        <f>_xlfn.XLOOKUP(A42,'[1]Price History'!$A$3:$A$946,'[1]Price History'!$K$3:$K$946)</f>
        <v>228.31</v>
      </c>
      <c r="F42" s="6">
        <v>203.78</v>
      </c>
    </row>
    <row r="43" spans="1:6" x14ac:dyDescent="0.3">
      <c r="A43" s="2">
        <v>44620</v>
      </c>
      <c r="B43" s="6">
        <v>151.27000000000001</v>
      </c>
      <c r="C43" s="6">
        <v>189</v>
      </c>
      <c r="D43" s="6">
        <v>216.37</v>
      </c>
      <c r="E43" s="6">
        <f>E42</f>
        <v>228.31</v>
      </c>
      <c r="F43" s="6">
        <v>203.78</v>
      </c>
    </row>
    <row r="44" spans="1:6" x14ac:dyDescent="0.3">
      <c r="A44" s="3">
        <v>44621</v>
      </c>
      <c r="B44" s="6">
        <v>151.27000000000001</v>
      </c>
      <c r="C44" s="6">
        <v>189</v>
      </c>
      <c r="D44" s="6">
        <v>216.37</v>
      </c>
      <c r="E44" s="6">
        <f>E43</f>
        <v>228.31</v>
      </c>
      <c r="F44" s="6">
        <v>203.78</v>
      </c>
    </row>
    <row r="45" spans="1:6" x14ac:dyDescent="0.3">
      <c r="A45" s="2">
        <v>44622</v>
      </c>
      <c r="B45" s="6">
        <v>151.27000000000001</v>
      </c>
      <c r="C45" s="6">
        <v>189</v>
      </c>
      <c r="D45" s="6">
        <v>216.37</v>
      </c>
      <c r="E45" s="6">
        <f>E44</f>
        <v>228.31</v>
      </c>
      <c r="F45" s="6">
        <v>203.78</v>
      </c>
    </row>
    <row r="46" spans="1:6" x14ac:dyDescent="0.3">
      <c r="A46" s="3">
        <v>44623</v>
      </c>
      <c r="B46" s="6">
        <v>151.27000000000001</v>
      </c>
      <c r="C46" s="6">
        <v>189</v>
      </c>
      <c r="D46" s="6">
        <v>216.37</v>
      </c>
      <c r="E46" s="6">
        <f>E45</f>
        <v>228.31</v>
      </c>
      <c r="F46" s="6">
        <v>203.78</v>
      </c>
    </row>
    <row r="47" spans="1:6" x14ac:dyDescent="0.3">
      <c r="A47" s="2">
        <v>44624</v>
      </c>
      <c r="B47" s="6">
        <v>251.7</v>
      </c>
      <c r="C47" s="6">
        <v>306.76</v>
      </c>
      <c r="D47" s="6">
        <v>346.85</v>
      </c>
      <c r="E47" s="6">
        <f>_xlfn.XLOOKUP(A47,'[1]Price History'!$A$3:$A$946,'[1]Price History'!$K$3:$K$946)</f>
        <v>359.9</v>
      </c>
      <c r="F47" s="6">
        <v>271.7</v>
      </c>
    </row>
    <row r="48" spans="1:6" x14ac:dyDescent="0.3">
      <c r="A48" s="3">
        <v>44627</v>
      </c>
      <c r="B48" s="6">
        <v>251.7</v>
      </c>
      <c r="C48" s="6">
        <v>306.76</v>
      </c>
      <c r="D48" s="6">
        <v>346.85</v>
      </c>
      <c r="E48" s="6">
        <f>E47</f>
        <v>359.9</v>
      </c>
      <c r="F48" s="6">
        <v>271.7</v>
      </c>
    </row>
    <row r="49" spans="1:6" x14ac:dyDescent="0.3">
      <c r="A49" s="2">
        <v>44628</v>
      </c>
      <c r="B49" s="6">
        <v>251.7</v>
      </c>
      <c r="C49" s="6">
        <v>306.76</v>
      </c>
      <c r="D49" s="6">
        <v>346.85</v>
      </c>
      <c r="E49" s="6">
        <f>E48</f>
        <v>359.9</v>
      </c>
      <c r="F49" s="6">
        <v>271.7</v>
      </c>
    </row>
    <row r="50" spans="1:6" x14ac:dyDescent="0.3">
      <c r="A50" s="3">
        <v>44629</v>
      </c>
      <c r="B50" s="6">
        <v>251.7</v>
      </c>
      <c r="C50" s="6">
        <v>306.76</v>
      </c>
      <c r="D50" s="6">
        <v>346.85</v>
      </c>
      <c r="E50" s="6">
        <f>E49</f>
        <v>359.9</v>
      </c>
      <c r="F50" s="6">
        <v>271.7</v>
      </c>
    </row>
    <row r="51" spans="1:6" x14ac:dyDescent="0.3">
      <c r="A51" s="2">
        <v>44630</v>
      </c>
      <c r="B51" s="6">
        <v>251.7</v>
      </c>
      <c r="C51" s="6">
        <v>306.76</v>
      </c>
      <c r="D51" s="6">
        <v>346.85</v>
      </c>
      <c r="E51" s="6">
        <f>E50</f>
        <v>359.9</v>
      </c>
      <c r="F51" s="6">
        <v>271.7</v>
      </c>
    </row>
    <row r="52" spans="1:6" x14ac:dyDescent="0.3">
      <c r="A52" s="3">
        <v>44631</v>
      </c>
      <c r="B52" s="6">
        <v>301.08999999999997</v>
      </c>
      <c r="C52" s="6">
        <v>360.24</v>
      </c>
      <c r="D52" s="6">
        <v>412.35</v>
      </c>
      <c r="E52" s="6">
        <f>_xlfn.XLOOKUP(A52,'[1]Price History'!$A$3:$A$946,'[1]Price History'!$K$3:$K$946)</f>
        <v>428.22</v>
      </c>
      <c r="F52" s="6">
        <v>312.89</v>
      </c>
    </row>
    <row r="53" spans="1:6" x14ac:dyDescent="0.3">
      <c r="A53" s="2">
        <v>44634</v>
      </c>
      <c r="B53" s="6">
        <v>301.08999999999997</v>
      </c>
      <c r="C53" s="6">
        <v>360.24</v>
      </c>
      <c r="D53" s="6">
        <v>412.35</v>
      </c>
      <c r="E53" s="6">
        <f>E52</f>
        <v>428.22</v>
      </c>
      <c r="F53" s="6">
        <v>312.89</v>
      </c>
    </row>
    <row r="54" spans="1:6" x14ac:dyDescent="0.3">
      <c r="A54" s="3">
        <v>44635</v>
      </c>
      <c r="B54" s="6">
        <v>301.08999999999997</v>
      </c>
      <c r="C54" s="6">
        <v>360.24</v>
      </c>
      <c r="D54" s="6">
        <v>412.35</v>
      </c>
      <c r="E54" s="6">
        <f>E53</f>
        <v>428.22</v>
      </c>
      <c r="F54" s="6">
        <v>312.89</v>
      </c>
    </row>
    <row r="55" spans="1:6" x14ac:dyDescent="0.3">
      <c r="A55" s="2">
        <v>44636</v>
      </c>
      <c r="B55" s="6">
        <v>301.08999999999997</v>
      </c>
      <c r="C55" s="6">
        <v>360.24</v>
      </c>
      <c r="D55" s="6">
        <v>412.35</v>
      </c>
      <c r="E55" s="6">
        <f>E54</f>
        <v>428.22</v>
      </c>
      <c r="F55" s="6">
        <v>312.89</v>
      </c>
    </row>
    <row r="56" spans="1:6" x14ac:dyDescent="0.3">
      <c r="A56" s="3">
        <v>44637</v>
      </c>
      <c r="B56" s="6">
        <v>301.08999999999997</v>
      </c>
      <c r="C56" s="6">
        <v>360.24</v>
      </c>
      <c r="D56" s="6">
        <v>412.35</v>
      </c>
      <c r="E56" s="6">
        <f>E55</f>
        <v>428.22</v>
      </c>
      <c r="F56" s="6">
        <v>312.89</v>
      </c>
    </row>
    <row r="57" spans="1:6" x14ac:dyDescent="0.3">
      <c r="A57" s="2">
        <v>44638</v>
      </c>
      <c r="B57" s="6">
        <v>183.2</v>
      </c>
      <c r="C57" s="6">
        <v>226.55</v>
      </c>
      <c r="D57" s="6">
        <v>260.51</v>
      </c>
      <c r="E57" s="6">
        <f>_xlfn.XLOOKUP(A57,'[1]Price History'!$A$3:$A$946,'[1]Price History'!$K$3:$K$946)</f>
        <v>294.8</v>
      </c>
      <c r="F57" s="6">
        <v>254.6</v>
      </c>
    </row>
    <row r="58" spans="1:6" x14ac:dyDescent="0.3">
      <c r="A58" s="3">
        <v>44641</v>
      </c>
      <c r="B58" s="6">
        <v>183.2</v>
      </c>
      <c r="C58" s="6">
        <v>226.55</v>
      </c>
      <c r="D58" s="6">
        <v>260.51</v>
      </c>
      <c r="E58" s="6">
        <f>E57</f>
        <v>294.8</v>
      </c>
      <c r="F58" s="6">
        <v>254.6</v>
      </c>
    </row>
    <row r="59" spans="1:6" x14ac:dyDescent="0.3">
      <c r="A59" s="2">
        <v>44642</v>
      </c>
      <c r="B59" s="6">
        <v>183.2</v>
      </c>
      <c r="C59" s="6">
        <v>226.55</v>
      </c>
      <c r="D59" s="6">
        <v>260.51</v>
      </c>
      <c r="E59" s="6">
        <f>E58</f>
        <v>294.8</v>
      </c>
      <c r="F59" s="6">
        <v>254.6</v>
      </c>
    </row>
    <row r="60" spans="1:6" x14ac:dyDescent="0.3">
      <c r="A60" s="3">
        <v>44643</v>
      </c>
      <c r="B60" s="6">
        <v>183.2</v>
      </c>
      <c r="C60" s="6">
        <v>226.55</v>
      </c>
      <c r="D60" s="6">
        <v>260.51</v>
      </c>
      <c r="E60" s="6">
        <f>E59</f>
        <v>294.8</v>
      </c>
      <c r="F60" s="6">
        <v>254.6</v>
      </c>
    </row>
    <row r="61" spans="1:6" x14ac:dyDescent="0.3">
      <c r="A61" s="2">
        <v>44644</v>
      </c>
      <c r="B61" s="6">
        <v>183.2</v>
      </c>
      <c r="C61" s="6">
        <v>226.55</v>
      </c>
      <c r="D61" s="6">
        <v>260.51</v>
      </c>
      <c r="E61" s="6">
        <f>E60</f>
        <v>294.8</v>
      </c>
      <c r="F61" s="6">
        <v>254.6</v>
      </c>
    </row>
    <row r="62" spans="1:6" x14ac:dyDescent="0.3">
      <c r="A62" s="3">
        <v>44645</v>
      </c>
      <c r="B62" s="6">
        <v>181.59</v>
      </c>
      <c r="C62" s="6">
        <v>221.54</v>
      </c>
      <c r="D62" s="6">
        <v>262.70999999999998</v>
      </c>
      <c r="E62" s="6">
        <f>_xlfn.XLOOKUP(A62,'[1]Price History'!$A$3:$A$946,'[1]Price History'!$K$3:$K$946)</f>
        <v>263.13</v>
      </c>
      <c r="F62" s="6">
        <v>233.97</v>
      </c>
    </row>
    <row r="63" spans="1:6" x14ac:dyDescent="0.3">
      <c r="A63" s="2">
        <v>44648</v>
      </c>
      <c r="B63" s="6">
        <v>181.59</v>
      </c>
      <c r="C63" s="6">
        <v>221.54</v>
      </c>
      <c r="D63" s="6">
        <v>262.70999999999998</v>
      </c>
      <c r="E63" s="6">
        <f>E62</f>
        <v>263.13</v>
      </c>
      <c r="F63" s="6">
        <v>233.97</v>
      </c>
    </row>
    <row r="64" spans="1:6" x14ac:dyDescent="0.3">
      <c r="A64" s="3">
        <v>44649</v>
      </c>
      <c r="B64" s="6">
        <v>181.59</v>
      </c>
      <c r="C64" s="6">
        <v>221.54</v>
      </c>
      <c r="D64" s="6">
        <v>262.70999999999998</v>
      </c>
      <c r="E64" s="6">
        <f>E63</f>
        <v>263.13</v>
      </c>
      <c r="F64" s="6">
        <v>233.97</v>
      </c>
    </row>
    <row r="65" spans="1:6" x14ac:dyDescent="0.3">
      <c r="A65" s="2">
        <v>44650</v>
      </c>
      <c r="B65" s="6">
        <v>181.59</v>
      </c>
      <c r="C65" s="6">
        <v>221.54</v>
      </c>
      <c r="D65" s="6">
        <v>262.70999999999998</v>
      </c>
      <c r="E65" s="6">
        <f>E64</f>
        <v>263.13</v>
      </c>
      <c r="F65" s="6">
        <v>233.97</v>
      </c>
    </row>
    <row r="66" spans="1:6" x14ac:dyDescent="0.3">
      <c r="A66" s="3">
        <v>44651</v>
      </c>
      <c r="B66" s="6">
        <v>181.59</v>
      </c>
      <c r="C66" s="6">
        <v>221.54</v>
      </c>
      <c r="D66" s="6">
        <v>262.70999999999998</v>
      </c>
      <c r="E66" s="6">
        <f>E65</f>
        <v>263.13</v>
      </c>
      <c r="F66" s="6">
        <v>233.97</v>
      </c>
    </row>
    <row r="67" spans="1:6" x14ac:dyDescent="0.3">
      <c r="A67" s="2">
        <v>44652</v>
      </c>
      <c r="B67" s="6">
        <v>167.18</v>
      </c>
      <c r="C67" s="6">
        <v>212.22</v>
      </c>
      <c r="D67" s="6">
        <v>252.38</v>
      </c>
      <c r="E67" s="6">
        <f>_xlfn.XLOOKUP(A67,'[1]Price History'!$A$3:$A$946,'[1]Price History'!$K$3:$K$946)</f>
        <v>259.76</v>
      </c>
      <c r="F67" s="6">
        <v>223.29</v>
      </c>
    </row>
    <row r="68" spans="1:6" x14ac:dyDescent="0.3">
      <c r="A68" s="3">
        <v>44655</v>
      </c>
      <c r="B68" s="6">
        <v>167.18</v>
      </c>
      <c r="C68" s="6">
        <v>212.22</v>
      </c>
      <c r="D68" s="6">
        <v>252.38</v>
      </c>
      <c r="E68" s="6">
        <f>E67</f>
        <v>259.76</v>
      </c>
      <c r="F68" s="6">
        <v>223.29</v>
      </c>
    </row>
    <row r="69" spans="1:6" x14ac:dyDescent="0.3">
      <c r="A69" s="2">
        <v>44656</v>
      </c>
      <c r="B69" s="6">
        <v>167.18</v>
      </c>
      <c r="C69" s="6">
        <v>212.22</v>
      </c>
      <c r="D69" s="6">
        <v>252.38</v>
      </c>
      <c r="E69" s="6">
        <f>E68</f>
        <v>259.76</v>
      </c>
      <c r="F69" s="6">
        <v>223.29</v>
      </c>
    </row>
    <row r="70" spans="1:6" x14ac:dyDescent="0.3">
      <c r="A70" s="3">
        <v>44657</v>
      </c>
      <c r="B70" s="6">
        <v>167.18</v>
      </c>
      <c r="C70" s="6">
        <v>212.22</v>
      </c>
      <c r="D70" s="6">
        <v>252.38</v>
      </c>
      <c r="E70" s="6">
        <f>E69</f>
        <v>259.76</v>
      </c>
      <c r="F70" s="6">
        <v>223.29</v>
      </c>
    </row>
    <row r="71" spans="1:6" x14ac:dyDescent="0.3">
      <c r="A71" s="2">
        <v>44658</v>
      </c>
      <c r="B71" s="6">
        <v>167.18</v>
      </c>
      <c r="C71" s="6">
        <v>212.22</v>
      </c>
      <c r="D71" s="6">
        <v>252.38</v>
      </c>
      <c r="E71" s="6">
        <f>E70</f>
        <v>259.76</v>
      </c>
      <c r="F71" s="6">
        <v>223.29</v>
      </c>
    </row>
    <row r="72" spans="1:6" x14ac:dyDescent="0.3">
      <c r="A72" s="3">
        <v>44659</v>
      </c>
      <c r="B72" s="6">
        <v>192.7</v>
      </c>
      <c r="C72" s="6">
        <v>234.24</v>
      </c>
      <c r="D72" s="6">
        <v>275.89999999999998</v>
      </c>
      <c r="E72" s="6">
        <f>_xlfn.XLOOKUP(A72,'[1]Price History'!$A$3:$A$946,'[1]Price History'!$K$3:$K$946)</f>
        <v>281.74</v>
      </c>
      <c r="F72" s="6">
        <v>232.45</v>
      </c>
    </row>
    <row r="73" spans="1:6" x14ac:dyDescent="0.3">
      <c r="A73" s="2">
        <v>44662</v>
      </c>
      <c r="B73" s="6">
        <v>192.7</v>
      </c>
      <c r="C73" s="6">
        <v>234.24</v>
      </c>
      <c r="D73" s="6">
        <v>275.89999999999998</v>
      </c>
      <c r="E73" s="6">
        <f>E72</f>
        <v>281.74</v>
      </c>
      <c r="F73" s="6">
        <v>232.45</v>
      </c>
    </row>
    <row r="74" spans="1:6" x14ac:dyDescent="0.3">
      <c r="A74" s="3">
        <v>44663</v>
      </c>
      <c r="B74" s="6">
        <v>192.7</v>
      </c>
      <c r="C74" s="6">
        <v>234.24</v>
      </c>
      <c r="D74" s="6">
        <v>275.89999999999998</v>
      </c>
      <c r="E74" s="6">
        <f>E73</f>
        <v>281.74</v>
      </c>
      <c r="F74" s="6">
        <v>232.45</v>
      </c>
    </row>
    <row r="75" spans="1:6" x14ac:dyDescent="0.3">
      <c r="A75" s="2">
        <v>44664</v>
      </c>
      <c r="B75" s="6">
        <v>192.7</v>
      </c>
      <c r="C75" s="6">
        <v>234.24</v>
      </c>
      <c r="D75" s="6">
        <v>275.89999999999998</v>
      </c>
      <c r="E75" s="6">
        <f>E74</f>
        <v>281.74</v>
      </c>
      <c r="F75" s="6">
        <v>232.45</v>
      </c>
    </row>
    <row r="76" spans="1:6" x14ac:dyDescent="0.3">
      <c r="A76" s="3">
        <v>44665</v>
      </c>
      <c r="B76" s="6">
        <v>215.98</v>
      </c>
      <c r="C76" s="6">
        <v>265.25</v>
      </c>
      <c r="D76" s="6">
        <v>309.88</v>
      </c>
      <c r="E76" s="6">
        <f>_xlfn.XLOOKUP(A76,'[1]Price History'!$A$3:$A$946,'[1]Price History'!$K$3:$K$946)</f>
        <v>326.69</v>
      </c>
      <c r="F76" s="6">
        <v>237.11</v>
      </c>
    </row>
    <row r="77" spans="1:6" x14ac:dyDescent="0.3">
      <c r="A77" s="2">
        <v>44669</v>
      </c>
      <c r="B77" s="6"/>
      <c r="C77" s="6"/>
      <c r="D77" s="6"/>
      <c r="E77" s="6">
        <f>E76</f>
        <v>326.69</v>
      </c>
      <c r="F77" s="6"/>
    </row>
    <row r="78" spans="1:6" x14ac:dyDescent="0.3">
      <c r="A78" s="3">
        <v>44670</v>
      </c>
      <c r="B78" s="6">
        <v>215.98</v>
      </c>
      <c r="C78" s="6">
        <v>265.25</v>
      </c>
      <c r="D78" s="6">
        <v>309.88</v>
      </c>
      <c r="E78" s="6">
        <f>E77</f>
        <v>326.69</v>
      </c>
      <c r="F78" s="6">
        <v>237.11</v>
      </c>
    </row>
    <row r="79" spans="1:6" x14ac:dyDescent="0.3">
      <c r="A79" s="2">
        <v>44671</v>
      </c>
      <c r="B79" s="6">
        <v>215.98</v>
      </c>
      <c r="C79" s="6">
        <v>265.25</v>
      </c>
      <c r="D79" s="6">
        <v>309.88</v>
      </c>
      <c r="E79" s="6">
        <f>E78</f>
        <v>326.69</v>
      </c>
      <c r="F79" s="6">
        <v>237.11</v>
      </c>
    </row>
    <row r="80" spans="1:6" x14ac:dyDescent="0.3">
      <c r="A80" s="3">
        <v>44672</v>
      </c>
      <c r="B80" s="6">
        <v>215.98</v>
      </c>
      <c r="C80" s="6">
        <v>265.25</v>
      </c>
      <c r="D80" s="6">
        <v>309.88</v>
      </c>
      <c r="E80" s="6">
        <f>E79</f>
        <v>326.69</v>
      </c>
      <c r="F80" s="6">
        <v>237.11</v>
      </c>
    </row>
    <row r="81" spans="1:6" x14ac:dyDescent="0.3">
      <c r="A81" s="2">
        <v>44673</v>
      </c>
      <c r="B81" s="6">
        <v>219.92</v>
      </c>
      <c r="C81" s="6">
        <v>270.95999999999998</v>
      </c>
      <c r="D81" s="6">
        <v>312.47000000000003</v>
      </c>
      <c r="E81" s="6">
        <f>_xlfn.XLOOKUP(A81,'[1]Price History'!$A$3:$A$946,'[1]Price History'!$K$3:$K$946)</f>
        <v>326.31</v>
      </c>
      <c r="F81" s="6">
        <v>257.5</v>
      </c>
    </row>
    <row r="82" spans="1:6" x14ac:dyDescent="0.3">
      <c r="A82" s="3">
        <v>44676</v>
      </c>
      <c r="B82" s="6">
        <v>219.92</v>
      </c>
      <c r="C82" s="6">
        <v>270.95999999999998</v>
      </c>
      <c r="D82" s="6">
        <v>312.47000000000003</v>
      </c>
      <c r="E82" s="6">
        <f>E81</f>
        <v>326.31</v>
      </c>
      <c r="F82" s="6">
        <v>257.5</v>
      </c>
    </row>
    <row r="83" spans="1:6" x14ac:dyDescent="0.3">
      <c r="A83" s="2">
        <v>44677</v>
      </c>
      <c r="B83" s="6">
        <v>219.92</v>
      </c>
      <c r="C83" s="6">
        <v>270.95999999999998</v>
      </c>
      <c r="D83" s="6">
        <v>312.47000000000003</v>
      </c>
      <c r="E83" s="6">
        <f>E82</f>
        <v>326.31</v>
      </c>
      <c r="F83" s="6">
        <v>257.5</v>
      </c>
    </row>
    <row r="84" spans="1:6" x14ac:dyDescent="0.3">
      <c r="A84" s="3">
        <v>44678</v>
      </c>
      <c r="B84" s="6">
        <v>219.92</v>
      </c>
      <c r="C84" s="6">
        <v>270.95999999999998</v>
      </c>
      <c r="D84" s="6">
        <v>312.47000000000003</v>
      </c>
      <c r="E84" s="6">
        <f>E83</f>
        <v>326.31</v>
      </c>
      <c r="F84" s="6">
        <v>257.5</v>
      </c>
    </row>
    <row r="85" spans="1:6" x14ac:dyDescent="0.3">
      <c r="A85" s="2">
        <v>44679</v>
      </c>
      <c r="B85" s="6">
        <v>219.92</v>
      </c>
      <c r="C85" s="6">
        <v>270.95999999999998</v>
      </c>
      <c r="D85" s="6">
        <v>312.47000000000003</v>
      </c>
      <c r="E85" s="6">
        <f>E84</f>
        <v>326.31</v>
      </c>
      <c r="F85" s="6">
        <v>257.5</v>
      </c>
    </row>
    <row r="86" spans="1:6" x14ac:dyDescent="0.3">
      <c r="A86" s="3">
        <v>44680</v>
      </c>
      <c r="B86" s="6">
        <v>190.92</v>
      </c>
      <c r="C86" s="6">
        <v>237.52</v>
      </c>
      <c r="D86" s="6">
        <v>276.97000000000003</v>
      </c>
      <c r="E86" s="6">
        <f>_xlfn.XLOOKUP(A86,'[1]Price History'!$A$3:$A$946,'[1]Price History'!$K$3:$K$946)</f>
        <v>280.04000000000002</v>
      </c>
      <c r="F86" s="6">
        <v>231.68</v>
      </c>
    </row>
    <row r="87" spans="1:6" x14ac:dyDescent="0.3">
      <c r="A87" s="2">
        <v>44684</v>
      </c>
      <c r="B87" s="6">
        <v>190.92</v>
      </c>
      <c r="C87" s="6">
        <v>237.52</v>
      </c>
      <c r="D87" s="6">
        <v>276.97000000000003</v>
      </c>
      <c r="E87" s="6">
        <f>E86</f>
        <v>280.04000000000002</v>
      </c>
      <c r="F87" s="6">
        <v>231.68</v>
      </c>
    </row>
    <row r="88" spans="1:6" x14ac:dyDescent="0.3">
      <c r="A88" s="3">
        <v>44685</v>
      </c>
      <c r="B88" s="6">
        <v>190.92</v>
      </c>
      <c r="C88" s="6">
        <v>237.52</v>
      </c>
      <c r="D88" s="6">
        <v>276.97000000000003</v>
      </c>
      <c r="E88" s="6">
        <f>E87</f>
        <v>280.04000000000002</v>
      </c>
      <c r="F88" s="6">
        <v>231.68</v>
      </c>
    </row>
    <row r="89" spans="1:6" x14ac:dyDescent="0.3">
      <c r="A89" s="2">
        <v>44686</v>
      </c>
      <c r="B89" s="6">
        <v>190.92</v>
      </c>
      <c r="C89" s="6">
        <v>237.52</v>
      </c>
      <c r="D89" s="6">
        <v>276.97000000000003</v>
      </c>
      <c r="E89" s="6">
        <f>E88</f>
        <v>280.04000000000002</v>
      </c>
      <c r="F89" s="6">
        <v>231.68</v>
      </c>
    </row>
    <row r="90" spans="1:6" x14ac:dyDescent="0.3">
      <c r="A90" s="3">
        <v>44687</v>
      </c>
      <c r="B90" s="6">
        <v>203.31</v>
      </c>
      <c r="C90" s="6">
        <v>253.63</v>
      </c>
      <c r="D90" s="6">
        <v>290.76</v>
      </c>
      <c r="E90" s="6">
        <f>_xlfn.XLOOKUP(A90,'[1]Price History'!$A$3:$A$946,'[1]Price History'!$K$3:$K$946)</f>
        <v>301.97000000000003</v>
      </c>
      <c r="F90" s="6">
        <v>259.81</v>
      </c>
    </row>
    <row r="91" spans="1:6" x14ac:dyDescent="0.3">
      <c r="A91" s="2">
        <v>44690</v>
      </c>
      <c r="B91" s="6">
        <v>203.31</v>
      </c>
      <c r="C91" s="6">
        <v>253.63</v>
      </c>
      <c r="D91" s="6">
        <v>290.76</v>
      </c>
      <c r="E91" s="6">
        <f>E90</f>
        <v>301.97000000000003</v>
      </c>
      <c r="F91" s="6">
        <v>259.81</v>
      </c>
    </row>
    <row r="92" spans="1:6" x14ac:dyDescent="0.3">
      <c r="A92" s="3">
        <v>44691</v>
      </c>
      <c r="B92" s="6">
        <v>203.31</v>
      </c>
      <c r="C92" s="6">
        <v>253.63</v>
      </c>
      <c r="D92" s="6">
        <v>290.76</v>
      </c>
      <c r="E92" s="6">
        <f>E91</f>
        <v>301.97000000000003</v>
      </c>
      <c r="F92" s="6">
        <v>259.81</v>
      </c>
    </row>
    <row r="93" spans="1:6" x14ac:dyDescent="0.3">
      <c r="A93" s="2">
        <v>44692</v>
      </c>
      <c r="B93" s="6">
        <v>203.31</v>
      </c>
      <c r="C93" s="6">
        <v>253.63</v>
      </c>
      <c r="D93" s="6">
        <v>290.76</v>
      </c>
      <c r="E93" s="6">
        <f>E92</f>
        <v>301.97000000000003</v>
      </c>
      <c r="F93" s="6">
        <v>259.81</v>
      </c>
    </row>
    <row r="94" spans="1:6" x14ac:dyDescent="0.3">
      <c r="A94" s="3">
        <v>44693</v>
      </c>
      <c r="B94" s="6">
        <v>203.31</v>
      </c>
      <c r="C94" s="6">
        <v>253.63</v>
      </c>
      <c r="D94" s="6">
        <v>290.76</v>
      </c>
      <c r="E94" s="6">
        <f>E93</f>
        <v>301.97000000000003</v>
      </c>
      <c r="F94" s="6">
        <v>259.81</v>
      </c>
    </row>
    <row r="95" spans="1:6" x14ac:dyDescent="0.3">
      <c r="A95" s="2">
        <v>44694</v>
      </c>
      <c r="B95" s="6">
        <v>208.26</v>
      </c>
      <c r="C95" s="6">
        <v>260.79000000000002</v>
      </c>
      <c r="D95" s="6">
        <v>295.60000000000002</v>
      </c>
      <c r="E95" s="6">
        <f>_xlfn.XLOOKUP(A95,'[1]Price History'!$A$3:$A$946,'[1]Price History'!$K$3:$K$946)</f>
        <v>324.60000000000002</v>
      </c>
      <c r="F95" s="6">
        <v>262.18</v>
      </c>
    </row>
    <row r="96" spans="1:6" x14ac:dyDescent="0.3">
      <c r="A96" s="3">
        <v>44697</v>
      </c>
      <c r="B96" s="6">
        <v>208.26</v>
      </c>
      <c r="C96" s="6">
        <v>260.79000000000002</v>
      </c>
      <c r="D96" s="6">
        <v>295.60000000000002</v>
      </c>
      <c r="E96" s="6">
        <f>E95</f>
        <v>324.60000000000002</v>
      </c>
      <c r="F96" s="6">
        <v>262.18</v>
      </c>
    </row>
    <row r="97" spans="1:6" x14ac:dyDescent="0.3">
      <c r="A97" s="2">
        <v>44698</v>
      </c>
      <c r="B97" s="6">
        <v>208.26</v>
      </c>
      <c r="C97" s="6">
        <v>260.79000000000002</v>
      </c>
      <c r="D97" s="6">
        <v>295.60000000000002</v>
      </c>
      <c r="E97" s="6">
        <f>E96</f>
        <v>324.60000000000002</v>
      </c>
      <c r="F97" s="6">
        <v>262.18</v>
      </c>
    </row>
    <row r="98" spans="1:6" x14ac:dyDescent="0.3">
      <c r="A98" s="3">
        <v>44699</v>
      </c>
      <c r="B98" s="6">
        <v>208.26</v>
      </c>
      <c r="C98" s="6">
        <v>260.79000000000002</v>
      </c>
      <c r="D98" s="6">
        <v>295.60000000000002</v>
      </c>
      <c r="E98" s="6">
        <f>E97</f>
        <v>324.60000000000002</v>
      </c>
      <c r="F98" s="6">
        <v>262.18</v>
      </c>
    </row>
    <row r="99" spans="1:6" x14ac:dyDescent="0.3">
      <c r="A99" s="2">
        <v>44700</v>
      </c>
      <c r="B99" s="6">
        <v>208.26</v>
      </c>
      <c r="C99" s="6">
        <v>260.79000000000002</v>
      </c>
      <c r="D99" s="6">
        <v>295.60000000000002</v>
      </c>
      <c r="E99" s="6">
        <f>E98</f>
        <v>324.60000000000002</v>
      </c>
      <c r="F99" s="6">
        <v>262.18</v>
      </c>
    </row>
    <row r="100" spans="1:6" x14ac:dyDescent="0.3">
      <c r="A100" s="3">
        <v>44701</v>
      </c>
      <c r="B100" s="6">
        <v>222.35</v>
      </c>
      <c r="C100" s="6">
        <v>274.11</v>
      </c>
      <c r="D100" s="6">
        <v>314.74</v>
      </c>
      <c r="E100" s="6">
        <f>_xlfn.XLOOKUP(A100,'[1]Price History'!$A$3:$A$946,'[1]Price History'!$K$3:$K$946)</f>
        <v>347.18</v>
      </c>
      <c r="F100" s="6">
        <v>252.02</v>
      </c>
    </row>
    <row r="101" spans="1:6" x14ac:dyDescent="0.3">
      <c r="A101" s="2">
        <v>44704</v>
      </c>
      <c r="B101" s="6">
        <v>222.35</v>
      </c>
      <c r="C101" s="6">
        <v>274.11</v>
      </c>
      <c r="D101" s="6">
        <v>314.74</v>
      </c>
      <c r="E101" s="6">
        <f>E100</f>
        <v>347.18</v>
      </c>
      <c r="F101" s="6">
        <v>252.02</v>
      </c>
    </row>
    <row r="102" spans="1:6" x14ac:dyDescent="0.3">
      <c r="A102" s="3">
        <v>44705</v>
      </c>
      <c r="B102" s="6">
        <v>222.35</v>
      </c>
      <c r="C102" s="6">
        <v>274.11</v>
      </c>
      <c r="D102" s="6">
        <v>314.74</v>
      </c>
      <c r="E102" s="6">
        <f>E101</f>
        <v>347.18</v>
      </c>
      <c r="F102" s="6">
        <v>252.02</v>
      </c>
    </row>
    <row r="103" spans="1:6" x14ac:dyDescent="0.3">
      <c r="A103" s="2">
        <v>44706</v>
      </c>
      <c r="B103" s="6">
        <v>222.35</v>
      </c>
      <c r="C103" s="6">
        <v>274.11</v>
      </c>
      <c r="D103" s="6">
        <v>314.74</v>
      </c>
      <c r="E103" s="6">
        <f>E102</f>
        <v>347.18</v>
      </c>
      <c r="F103" s="6">
        <v>252.02</v>
      </c>
    </row>
    <row r="104" spans="1:6" x14ac:dyDescent="0.3">
      <c r="A104" s="3">
        <v>44707</v>
      </c>
      <c r="B104" s="6">
        <v>222.35</v>
      </c>
      <c r="C104" s="6">
        <v>274.11</v>
      </c>
      <c r="D104" s="6">
        <v>314.74</v>
      </c>
      <c r="E104" s="6">
        <f>E103</f>
        <v>347.18</v>
      </c>
      <c r="F104" s="6">
        <v>252.02</v>
      </c>
    </row>
    <row r="105" spans="1:6" x14ac:dyDescent="0.3">
      <c r="A105" s="2">
        <v>44708</v>
      </c>
      <c r="B105" s="6">
        <v>192.68</v>
      </c>
      <c r="C105" s="6">
        <v>246.64</v>
      </c>
      <c r="D105" s="6">
        <v>290.52</v>
      </c>
      <c r="E105" s="6">
        <f>_xlfn.XLOOKUP(A105,'[1]Price History'!$A$3:$A$946,'[1]Price History'!$K$3:$K$946)</f>
        <v>317.45999999999998</v>
      </c>
      <c r="F105" s="6">
        <v>251.72</v>
      </c>
    </row>
    <row r="106" spans="1:6" x14ac:dyDescent="0.3">
      <c r="A106" s="3">
        <v>44711</v>
      </c>
      <c r="B106" s="6">
        <v>192.68</v>
      </c>
      <c r="C106" s="6">
        <v>246.64</v>
      </c>
      <c r="D106" s="6">
        <v>290.52</v>
      </c>
      <c r="E106" s="6">
        <f>E105</f>
        <v>317.45999999999998</v>
      </c>
      <c r="F106" s="6">
        <v>251.72</v>
      </c>
    </row>
    <row r="107" spans="1:6" x14ac:dyDescent="0.3">
      <c r="A107" s="2">
        <v>44712</v>
      </c>
      <c r="B107" s="6">
        <v>192.68</v>
      </c>
      <c r="C107" s="6">
        <v>246.64</v>
      </c>
      <c r="D107" s="6">
        <v>290.52</v>
      </c>
      <c r="E107" s="6">
        <f>E106</f>
        <v>317.45999999999998</v>
      </c>
      <c r="F107" s="6">
        <v>251.72</v>
      </c>
    </row>
    <row r="108" spans="1:6" x14ac:dyDescent="0.3">
      <c r="A108" s="3">
        <v>44713</v>
      </c>
      <c r="B108" s="6">
        <v>194.96</v>
      </c>
      <c r="C108" s="6">
        <v>255.32</v>
      </c>
      <c r="D108" s="6">
        <v>303.74</v>
      </c>
      <c r="E108" s="6">
        <f>_xlfn.XLOOKUP(A108,'[1]Price History'!$A$3:$A$946,'[1]Price History'!$K$3:$K$946)</f>
        <v>333.07</v>
      </c>
      <c r="F108" s="6">
        <v>249.34</v>
      </c>
    </row>
    <row r="109" spans="1:6" x14ac:dyDescent="0.3">
      <c r="A109" s="2">
        <v>44714</v>
      </c>
      <c r="B109" s="6"/>
      <c r="C109" s="6"/>
      <c r="D109" s="6"/>
      <c r="E109" s="6">
        <f t="shared" ref="E109:E114" si="0">E108</f>
        <v>333.07</v>
      </c>
      <c r="F109" s="6"/>
    </row>
    <row r="110" spans="1:6" x14ac:dyDescent="0.3">
      <c r="A110" s="3">
        <v>44715</v>
      </c>
      <c r="B110" s="6"/>
      <c r="C110" s="6"/>
      <c r="D110" s="6"/>
      <c r="E110" s="6">
        <f t="shared" si="0"/>
        <v>333.07</v>
      </c>
      <c r="F110" s="6"/>
    </row>
    <row r="111" spans="1:6" x14ac:dyDescent="0.3">
      <c r="A111" s="2">
        <v>44718</v>
      </c>
      <c r="B111" s="6">
        <v>194.96</v>
      </c>
      <c r="C111" s="6">
        <v>255.32</v>
      </c>
      <c r="D111" s="6">
        <v>303.74</v>
      </c>
      <c r="E111" s="6">
        <f t="shared" si="0"/>
        <v>333.07</v>
      </c>
      <c r="F111" s="6">
        <v>249.34</v>
      </c>
    </row>
    <row r="112" spans="1:6" x14ac:dyDescent="0.3">
      <c r="A112" s="3">
        <v>44719</v>
      </c>
      <c r="B112" s="6">
        <v>194.96</v>
      </c>
      <c r="C112" s="6">
        <v>255.32</v>
      </c>
      <c r="D112" s="6">
        <v>303.74</v>
      </c>
      <c r="E112" s="6">
        <f t="shared" si="0"/>
        <v>333.07</v>
      </c>
      <c r="F112" s="6">
        <v>249.34</v>
      </c>
    </row>
    <row r="113" spans="1:6" x14ac:dyDescent="0.3">
      <c r="A113" s="2">
        <v>44720</v>
      </c>
      <c r="B113" s="6">
        <v>194.96</v>
      </c>
      <c r="C113" s="6">
        <v>255.32</v>
      </c>
      <c r="D113" s="6">
        <v>303.74</v>
      </c>
      <c r="E113" s="6">
        <f t="shared" si="0"/>
        <v>333.07</v>
      </c>
      <c r="F113" s="6">
        <v>249.34</v>
      </c>
    </row>
    <row r="114" spans="1:6" x14ac:dyDescent="0.3">
      <c r="A114" s="3">
        <v>44721</v>
      </c>
      <c r="B114" s="6">
        <v>194.96</v>
      </c>
      <c r="C114" s="6">
        <v>255.32</v>
      </c>
      <c r="D114" s="6">
        <v>303.74</v>
      </c>
      <c r="E114" s="6">
        <f t="shared" si="0"/>
        <v>333.07</v>
      </c>
      <c r="F114" s="6">
        <v>249.34</v>
      </c>
    </row>
    <row r="115" spans="1:6" x14ac:dyDescent="0.3">
      <c r="A115" s="2">
        <v>44722</v>
      </c>
      <c r="B115" s="6">
        <v>171.75</v>
      </c>
      <c r="C115" s="6">
        <v>231.88</v>
      </c>
      <c r="D115" s="6">
        <v>282.79000000000002</v>
      </c>
      <c r="E115" s="6">
        <f>_xlfn.XLOOKUP(A115,'[1]Price History'!$A$3:$A$946,'[1]Price History'!$K$3:$K$946)</f>
        <v>312.42</v>
      </c>
      <c r="F115" s="6">
        <v>235.58</v>
      </c>
    </row>
    <row r="116" spans="1:6" x14ac:dyDescent="0.3">
      <c r="A116" s="3">
        <v>44725</v>
      </c>
      <c r="B116" s="6">
        <v>171.75</v>
      </c>
      <c r="C116" s="6">
        <v>231.88</v>
      </c>
      <c r="D116" s="6">
        <v>282.79000000000002</v>
      </c>
      <c r="E116" s="6">
        <f>E115</f>
        <v>312.42</v>
      </c>
      <c r="F116" s="6">
        <v>235.58</v>
      </c>
    </row>
    <row r="117" spans="1:6" x14ac:dyDescent="0.3">
      <c r="A117" s="2">
        <v>44726</v>
      </c>
      <c r="B117" s="6">
        <v>171.75</v>
      </c>
      <c r="C117" s="6">
        <v>231.88</v>
      </c>
      <c r="D117" s="6">
        <v>282.79000000000002</v>
      </c>
      <c r="E117" s="6">
        <f>E116</f>
        <v>312.42</v>
      </c>
      <c r="F117" s="6">
        <v>235.58</v>
      </c>
    </row>
    <row r="118" spans="1:6" x14ac:dyDescent="0.3">
      <c r="A118" s="3">
        <v>44727</v>
      </c>
      <c r="B118" s="6">
        <v>171.75</v>
      </c>
      <c r="C118" s="6">
        <v>231.88</v>
      </c>
      <c r="D118" s="6">
        <v>282.79000000000002</v>
      </c>
      <c r="E118" s="6">
        <f>E117</f>
        <v>312.42</v>
      </c>
      <c r="F118" s="6">
        <v>235.58</v>
      </c>
    </row>
    <row r="119" spans="1:6" x14ac:dyDescent="0.3">
      <c r="A119" s="2">
        <v>44728</v>
      </c>
      <c r="B119" s="6">
        <v>171.75</v>
      </c>
      <c r="C119" s="6">
        <v>231.88</v>
      </c>
      <c r="D119" s="6">
        <v>282.79000000000002</v>
      </c>
      <c r="E119" s="6">
        <f>E118</f>
        <v>312.42</v>
      </c>
      <c r="F119" s="6">
        <v>235.58</v>
      </c>
    </row>
    <row r="120" spans="1:6" x14ac:dyDescent="0.3">
      <c r="A120" s="3">
        <v>44729</v>
      </c>
      <c r="B120" s="6">
        <v>152.38</v>
      </c>
      <c r="C120" s="6">
        <v>208.65</v>
      </c>
      <c r="D120" s="6">
        <v>270.89</v>
      </c>
      <c r="E120" s="6">
        <f>_xlfn.XLOOKUP(A120,'[1]Price History'!$A$3:$A$946,'[1]Price History'!$K$3:$K$946)</f>
        <v>312.3</v>
      </c>
      <c r="F120" s="6">
        <v>215.13</v>
      </c>
    </row>
    <row r="121" spans="1:6" x14ac:dyDescent="0.3">
      <c r="A121" s="2">
        <v>44732</v>
      </c>
      <c r="B121" s="6">
        <v>152.38</v>
      </c>
      <c r="C121" s="6">
        <v>208.65</v>
      </c>
      <c r="D121" s="6">
        <v>270.89</v>
      </c>
      <c r="E121" s="6">
        <f>E120</f>
        <v>312.3</v>
      </c>
      <c r="F121" s="6">
        <v>215.13</v>
      </c>
    </row>
    <row r="122" spans="1:6" x14ac:dyDescent="0.3">
      <c r="A122" s="3">
        <v>44733</v>
      </c>
      <c r="B122" s="6">
        <v>152.38</v>
      </c>
      <c r="C122" s="6">
        <v>208.65</v>
      </c>
      <c r="D122" s="6">
        <v>270.89</v>
      </c>
      <c r="E122" s="6">
        <f>E121</f>
        <v>312.3</v>
      </c>
      <c r="F122" s="6">
        <v>215.13</v>
      </c>
    </row>
    <row r="123" spans="1:6" x14ac:dyDescent="0.3">
      <c r="A123" s="2">
        <v>44734</v>
      </c>
      <c r="B123" s="6">
        <v>152.38</v>
      </c>
      <c r="C123" s="6">
        <v>208.65</v>
      </c>
      <c r="D123" s="6">
        <v>270.89</v>
      </c>
      <c r="E123" s="6">
        <f>E122</f>
        <v>312.3</v>
      </c>
      <c r="F123" s="6">
        <v>215.13</v>
      </c>
    </row>
    <row r="124" spans="1:6" x14ac:dyDescent="0.3">
      <c r="A124" s="3">
        <v>44735</v>
      </c>
      <c r="B124" s="6">
        <v>152.38</v>
      </c>
      <c r="C124" s="6">
        <v>208.65</v>
      </c>
      <c r="D124" s="6">
        <v>270.89</v>
      </c>
      <c r="E124" s="6">
        <f>E123</f>
        <v>312.3</v>
      </c>
      <c r="F124" s="6">
        <v>215.13</v>
      </c>
    </row>
    <row r="125" spans="1:6" x14ac:dyDescent="0.3">
      <c r="A125" s="2">
        <v>44736</v>
      </c>
      <c r="B125" s="6">
        <v>180.69</v>
      </c>
      <c r="C125" s="6">
        <v>269.37</v>
      </c>
      <c r="D125" s="6">
        <v>323.82</v>
      </c>
      <c r="E125" s="6">
        <f>_xlfn.XLOOKUP(A125,'[1]Price History'!$A$3:$A$946,'[1]Price History'!$K$3:$K$946)</f>
        <v>354.25</v>
      </c>
      <c r="F125" s="6">
        <v>216.24</v>
      </c>
    </row>
    <row r="126" spans="1:6" x14ac:dyDescent="0.3">
      <c r="A126" s="3">
        <v>44739</v>
      </c>
      <c r="B126" s="6">
        <v>180.69</v>
      </c>
      <c r="C126" s="6">
        <v>269.37</v>
      </c>
      <c r="D126" s="6">
        <v>323.82</v>
      </c>
      <c r="E126" s="6">
        <f>E125</f>
        <v>354.25</v>
      </c>
      <c r="F126" s="6">
        <v>216.24</v>
      </c>
    </row>
    <row r="127" spans="1:6" x14ac:dyDescent="0.3">
      <c r="A127" s="2">
        <v>44740</v>
      </c>
      <c r="B127" s="6">
        <v>180.69</v>
      </c>
      <c r="C127" s="6">
        <v>269.37</v>
      </c>
      <c r="D127" s="6">
        <v>323.82</v>
      </c>
      <c r="E127" s="6">
        <f>E126</f>
        <v>354.25</v>
      </c>
      <c r="F127" s="6">
        <v>216.24</v>
      </c>
    </row>
    <row r="128" spans="1:6" x14ac:dyDescent="0.3">
      <c r="A128" s="3">
        <v>44741</v>
      </c>
      <c r="B128" s="6">
        <v>180.69</v>
      </c>
      <c r="C128" s="6">
        <v>269.37</v>
      </c>
      <c r="D128" s="6">
        <v>323.82</v>
      </c>
      <c r="E128" s="6">
        <f>E127</f>
        <v>354.25</v>
      </c>
      <c r="F128" s="6">
        <v>216.24</v>
      </c>
    </row>
    <row r="129" spans="1:6" x14ac:dyDescent="0.3">
      <c r="A129" s="2">
        <v>44742</v>
      </c>
      <c r="B129" s="6">
        <v>180.69</v>
      </c>
      <c r="C129" s="6">
        <v>269.37</v>
      </c>
      <c r="D129" s="6">
        <v>323.82</v>
      </c>
      <c r="E129" s="6">
        <f>E128</f>
        <v>354.25</v>
      </c>
      <c r="F129" s="6">
        <v>216.24</v>
      </c>
    </row>
    <row r="130" spans="1:6" x14ac:dyDescent="0.3">
      <c r="A130" s="3">
        <v>44743</v>
      </c>
      <c r="B130" s="6">
        <v>155.08000000000001</v>
      </c>
      <c r="C130" s="6">
        <v>235.17</v>
      </c>
      <c r="D130" s="6">
        <v>301.85000000000002</v>
      </c>
      <c r="E130" s="6">
        <f>_xlfn.XLOOKUP(A130,'[1]Price History'!$A$3:$A$946,'[1]Price History'!$K$3:$K$946)</f>
        <v>332.33</v>
      </c>
      <c r="F130" s="6">
        <v>215.96</v>
      </c>
    </row>
    <row r="131" spans="1:6" x14ac:dyDescent="0.3">
      <c r="A131" s="2">
        <v>44746</v>
      </c>
      <c r="B131" s="6">
        <v>155.08000000000001</v>
      </c>
      <c r="C131" s="6">
        <v>235.17</v>
      </c>
      <c r="D131" s="6">
        <v>301.85000000000002</v>
      </c>
      <c r="E131" s="6">
        <f>E130</f>
        <v>332.33</v>
      </c>
      <c r="F131" s="6">
        <v>215.96</v>
      </c>
    </row>
    <row r="132" spans="1:6" x14ac:dyDescent="0.3">
      <c r="A132" s="3">
        <v>44747</v>
      </c>
      <c r="B132" s="6">
        <v>155.08000000000001</v>
      </c>
      <c r="C132" s="6">
        <v>235.17</v>
      </c>
      <c r="D132" s="6">
        <v>301.85000000000002</v>
      </c>
      <c r="E132" s="6">
        <f>E131</f>
        <v>332.33</v>
      </c>
      <c r="F132" s="6">
        <v>215.96</v>
      </c>
    </row>
    <row r="133" spans="1:6" x14ac:dyDescent="0.3">
      <c r="A133" s="2">
        <v>44748</v>
      </c>
      <c r="B133" s="6">
        <v>155.08000000000001</v>
      </c>
      <c r="C133" s="6">
        <v>235.17</v>
      </c>
      <c r="D133" s="6">
        <v>301.85000000000002</v>
      </c>
      <c r="E133" s="6">
        <f>E132</f>
        <v>332.33</v>
      </c>
      <c r="F133" s="6">
        <v>215.96</v>
      </c>
    </row>
    <row r="134" spans="1:6" x14ac:dyDescent="0.3">
      <c r="A134" s="3">
        <v>44749</v>
      </c>
      <c r="B134" s="6">
        <v>155.08000000000001</v>
      </c>
      <c r="C134" s="6">
        <v>235.17</v>
      </c>
      <c r="D134" s="6">
        <v>301.85000000000002</v>
      </c>
      <c r="E134" s="6">
        <f>E133</f>
        <v>332.33</v>
      </c>
      <c r="F134" s="6">
        <v>215.96</v>
      </c>
    </row>
    <row r="135" spans="1:6" x14ac:dyDescent="0.3">
      <c r="A135" s="2">
        <v>44750</v>
      </c>
      <c r="B135" s="6">
        <v>167.09</v>
      </c>
      <c r="C135" s="6">
        <v>251.57</v>
      </c>
      <c r="D135" s="6">
        <v>322.37</v>
      </c>
      <c r="E135" s="6">
        <f>_xlfn.XLOOKUP(A135,'[1]Price History'!$A$3:$A$946,'[1]Price History'!$K$3:$K$946)</f>
        <v>348.09</v>
      </c>
      <c r="F135" s="6">
        <v>215.06</v>
      </c>
    </row>
    <row r="136" spans="1:6" x14ac:dyDescent="0.3">
      <c r="A136" s="3">
        <v>44753</v>
      </c>
      <c r="B136" s="6">
        <v>167.09</v>
      </c>
      <c r="C136" s="6">
        <v>251.57</v>
      </c>
      <c r="D136" s="6">
        <v>322.37</v>
      </c>
      <c r="E136" s="6">
        <f>E135</f>
        <v>348.09</v>
      </c>
      <c r="F136" s="6">
        <v>215.06</v>
      </c>
    </row>
    <row r="137" spans="1:6" x14ac:dyDescent="0.3">
      <c r="A137" s="2">
        <v>44754</v>
      </c>
      <c r="B137" s="6">
        <v>167.09</v>
      </c>
      <c r="C137" s="6">
        <v>251.57</v>
      </c>
      <c r="D137" s="6">
        <v>322.37</v>
      </c>
      <c r="E137" s="6">
        <f>E136</f>
        <v>348.09</v>
      </c>
      <c r="F137" s="6">
        <v>215.06</v>
      </c>
    </row>
    <row r="138" spans="1:6" x14ac:dyDescent="0.3">
      <c r="A138" s="3">
        <v>44755</v>
      </c>
      <c r="B138" s="6">
        <v>167.09</v>
      </c>
      <c r="C138" s="6">
        <v>251.57</v>
      </c>
      <c r="D138" s="6">
        <v>322.37</v>
      </c>
      <c r="E138" s="6">
        <f>E137</f>
        <v>348.09</v>
      </c>
      <c r="F138" s="6">
        <v>215.06</v>
      </c>
    </row>
    <row r="139" spans="1:6" x14ac:dyDescent="0.3">
      <c r="A139" s="2">
        <v>44756</v>
      </c>
      <c r="B139" s="6">
        <v>167.09</v>
      </c>
      <c r="C139" s="6">
        <v>251.57</v>
      </c>
      <c r="D139" s="6">
        <v>322.37</v>
      </c>
      <c r="E139" s="6">
        <f>E138</f>
        <v>348.09</v>
      </c>
      <c r="F139" s="6">
        <v>215.06</v>
      </c>
    </row>
    <row r="140" spans="1:6" x14ac:dyDescent="0.3">
      <c r="A140" s="3">
        <v>44757</v>
      </c>
      <c r="B140" s="6">
        <v>163.97</v>
      </c>
      <c r="C140" s="6">
        <v>249.99</v>
      </c>
      <c r="D140" s="6">
        <v>317.43</v>
      </c>
      <c r="E140" s="6">
        <f>_xlfn.XLOOKUP(A140,'[1]Price History'!$A$3:$A$946,'[1]Price History'!$K$3:$K$946)</f>
        <v>342.5</v>
      </c>
      <c r="F140" s="6">
        <v>214.23</v>
      </c>
    </row>
    <row r="141" spans="1:6" x14ac:dyDescent="0.3">
      <c r="A141" s="2">
        <v>44760</v>
      </c>
      <c r="B141" s="6">
        <v>163.97</v>
      </c>
      <c r="C141" s="6">
        <v>249.99</v>
      </c>
      <c r="D141" s="6">
        <v>317.43</v>
      </c>
      <c r="E141" s="6">
        <f>E140</f>
        <v>342.5</v>
      </c>
      <c r="F141" s="6">
        <v>214.23</v>
      </c>
    </row>
    <row r="142" spans="1:6" x14ac:dyDescent="0.3">
      <c r="A142" s="3">
        <v>44761</v>
      </c>
      <c r="B142" s="6">
        <v>163.97</v>
      </c>
      <c r="C142" s="6">
        <v>249.99</v>
      </c>
      <c r="D142" s="6">
        <v>317.43</v>
      </c>
      <c r="E142" s="6">
        <f>E141</f>
        <v>342.5</v>
      </c>
      <c r="F142" s="6">
        <v>214.23</v>
      </c>
    </row>
    <row r="143" spans="1:6" x14ac:dyDescent="0.3">
      <c r="A143" s="2">
        <v>44762</v>
      </c>
      <c r="B143" s="6">
        <v>163.97</v>
      </c>
      <c r="C143" s="6">
        <v>249.99</v>
      </c>
      <c r="D143" s="6">
        <v>317.43</v>
      </c>
      <c r="E143" s="6">
        <f>E142</f>
        <v>342.5</v>
      </c>
      <c r="F143" s="6">
        <v>214.23</v>
      </c>
    </row>
    <row r="144" spans="1:6" x14ac:dyDescent="0.3">
      <c r="A144" s="3">
        <v>44763</v>
      </c>
      <c r="B144" s="6">
        <v>163.97</v>
      </c>
      <c r="C144" s="6">
        <v>249.99</v>
      </c>
      <c r="D144" s="6">
        <v>317.43</v>
      </c>
      <c r="E144" s="6">
        <f>E143</f>
        <v>342.5</v>
      </c>
      <c r="F144" s="6">
        <v>214.23</v>
      </c>
    </row>
    <row r="145" spans="1:6" x14ac:dyDescent="0.3">
      <c r="A145" s="2">
        <v>44764</v>
      </c>
      <c r="B145" s="6">
        <v>144.63</v>
      </c>
      <c r="C145" s="6">
        <v>213.02</v>
      </c>
      <c r="D145" s="6">
        <v>285.76</v>
      </c>
      <c r="E145" s="6">
        <f>_xlfn.XLOOKUP(A145,'[1]Price History'!$A$3:$A$946,'[1]Price History'!$K$3:$K$946)</f>
        <v>302.73</v>
      </c>
      <c r="F145" s="6">
        <v>225.35</v>
      </c>
    </row>
    <row r="146" spans="1:6" x14ac:dyDescent="0.3">
      <c r="A146" s="3">
        <v>44767</v>
      </c>
      <c r="B146" s="6">
        <v>144.63</v>
      </c>
      <c r="C146" s="6">
        <v>213.02</v>
      </c>
      <c r="D146" s="6">
        <v>285.76</v>
      </c>
      <c r="E146" s="6">
        <f>E145</f>
        <v>302.73</v>
      </c>
      <c r="F146" s="6">
        <v>225.35</v>
      </c>
    </row>
    <row r="147" spans="1:6" x14ac:dyDescent="0.3">
      <c r="A147" s="2">
        <v>44768</v>
      </c>
      <c r="B147" s="6">
        <v>144.63</v>
      </c>
      <c r="C147" s="6">
        <v>213.02</v>
      </c>
      <c r="D147" s="6">
        <v>285.76</v>
      </c>
      <c r="E147" s="6">
        <f>E146</f>
        <v>302.73</v>
      </c>
      <c r="F147" s="6">
        <v>225.35</v>
      </c>
    </row>
    <row r="148" spans="1:6" x14ac:dyDescent="0.3">
      <c r="A148" s="3">
        <v>44769</v>
      </c>
      <c r="B148" s="6">
        <v>144.63</v>
      </c>
      <c r="C148" s="6">
        <v>213.02</v>
      </c>
      <c r="D148" s="6">
        <v>285.76</v>
      </c>
      <c r="E148" s="6">
        <f>E147</f>
        <v>302.73</v>
      </c>
      <c r="F148" s="6">
        <v>225.35</v>
      </c>
    </row>
    <row r="149" spans="1:6" x14ac:dyDescent="0.3">
      <c r="A149" s="2">
        <v>44770</v>
      </c>
      <c r="B149" s="6">
        <v>144.63</v>
      </c>
      <c r="C149" s="6">
        <v>213.02</v>
      </c>
      <c r="D149" s="6">
        <v>285.76</v>
      </c>
      <c r="E149" s="6">
        <f>E148</f>
        <v>302.73</v>
      </c>
      <c r="F149" s="6">
        <v>225.35</v>
      </c>
    </row>
    <row r="150" spans="1:6" x14ac:dyDescent="0.3">
      <c r="A150" s="3">
        <v>44771</v>
      </c>
      <c r="B150" s="6">
        <v>166.43</v>
      </c>
      <c r="C150" s="6">
        <v>239.95</v>
      </c>
      <c r="D150" s="6">
        <v>316.32</v>
      </c>
      <c r="E150" s="6">
        <f>_xlfn.XLOOKUP(A150,'[1]Price History'!$A$3:$A$946,'[1]Price History'!$K$3:$K$946)</f>
        <v>321.62</v>
      </c>
      <c r="F150" s="6">
        <v>224.48</v>
      </c>
    </row>
    <row r="151" spans="1:6" x14ac:dyDescent="0.3">
      <c r="A151" s="2">
        <v>44774</v>
      </c>
      <c r="B151" s="6">
        <v>166.43</v>
      </c>
      <c r="C151" s="6">
        <v>239.95</v>
      </c>
      <c r="D151" s="6">
        <v>316.32</v>
      </c>
      <c r="E151" s="6">
        <f>E150</f>
        <v>321.62</v>
      </c>
      <c r="F151" s="6">
        <v>224.48</v>
      </c>
    </row>
    <row r="152" spans="1:6" x14ac:dyDescent="0.3">
      <c r="A152" s="3">
        <v>44775</v>
      </c>
      <c r="B152" s="6">
        <v>166.43</v>
      </c>
      <c r="C152" s="6">
        <v>239.95</v>
      </c>
      <c r="D152" s="6">
        <v>316.32</v>
      </c>
      <c r="E152" s="6">
        <f>E151</f>
        <v>321.62</v>
      </c>
      <c r="F152" s="6">
        <v>224.48</v>
      </c>
    </row>
    <row r="153" spans="1:6" x14ac:dyDescent="0.3">
      <c r="A153" s="2">
        <v>44776</v>
      </c>
      <c r="B153" s="6">
        <v>166.43</v>
      </c>
      <c r="C153" s="6">
        <v>239.95</v>
      </c>
      <c r="D153" s="6">
        <v>316.32</v>
      </c>
      <c r="E153" s="6">
        <f>E152</f>
        <v>321.62</v>
      </c>
      <c r="F153" s="6">
        <v>224.48</v>
      </c>
    </row>
    <row r="154" spans="1:6" x14ac:dyDescent="0.3">
      <c r="A154" s="3">
        <v>44777</v>
      </c>
      <c r="B154" s="6">
        <v>166.43</v>
      </c>
      <c r="C154" s="6">
        <v>239.95</v>
      </c>
      <c r="D154" s="6">
        <v>316.32</v>
      </c>
      <c r="E154" s="6">
        <f>E153</f>
        <v>321.62</v>
      </c>
      <c r="F154" s="6">
        <v>224.48</v>
      </c>
    </row>
    <row r="155" spans="1:6" x14ac:dyDescent="0.3">
      <c r="A155" s="2">
        <v>44778</v>
      </c>
      <c r="B155" s="6">
        <v>142.01</v>
      </c>
      <c r="C155" s="6">
        <v>210.93</v>
      </c>
      <c r="D155" s="6">
        <v>278.17</v>
      </c>
      <c r="E155" s="6">
        <f>_xlfn.XLOOKUP(A155,'[1]Price History'!$A$3:$A$946,'[1]Price History'!$K$3:$K$946)</f>
        <v>319.38</v>
      </c>
      <c r="F155" s="6">
        <v>219.98</v>
      </c>
    </row>
    <row r="156" spans="1:6" x14ac:dyDescent="0.3">
      <c r="A156" s="3">
        <v>44781</v>
      </c>
      <c r="B156" s="6">
        <v>142.01</v>
      </c>
      <c r="C156" s="6">
        <v>210.93</v>
      </c>
      <c r="D156" s="6">
        <v>278.17</v>
      </c>
      <c r="E156" s="6">
        <f>E155</f>
        <v>319.38</v>
      </c>
      <c r="F156" s="6">
        <v>219.98</v>
      </c>
    </row>
    <row r="157" spans="1:6" x14ac:dyDescent="0.3">
      <c r="A157" s="2">
        <v>44782</v>
      </c>
      <c r="B157" s="6">
        <v>142.01</v>
      </c>
      <c r="C157" s="6">
        <v>210.93</v>
      </c>
      <c r="D157" s="6">
        <v>278.17</v>
      </c>
      <c r="E157" s="6">
        <f>E156</f>
        <v>319.38</v>
      </c>
      <c r="F157" s="6">
        <v>219.98</v>
      </c>
    </row>
    <row r="158" spans="1:6" x14ac:dyDescent="0.3">
      <c r="A158" s="3">
        <v>44783</v>
      </c>
      <c r="B158" s="6">
        <v>142.01</v>
      </c>
      <c r="C158" s="6">
        <v>210.93</v>
      </c>
      <c r="D158" s="6">
        <v>278.17</v>
      </c>
      <c r="E158" s="6">
        <f>E157</f>
        <v>319.38</v>
      </c>
      <c r="F158" s="6">
        <v>219.98</v>
      </c>
    </row>
    <row r="159" spans="1:6" x14ac:dyDescent="0.3">
      <c r="A159" s="2">
        <v>44784</v>
      </c>
      <c r="B159" s="6">
        <v>142.01</v>
      </c>
      <c r="C159" s="6">
        <v>210.93</v>
      </c>
      <c r="D159" s="6">
        <v>278.17</v>
      </c>
      <c r="E159" s="6">
        <f>E158</f>
        <v>319.38</v>
      </c>
      <c r="F159" s="6">
        <v>219.98</v>
      </c>
    </row>
    <row r="160" spans="1:6" x14ac:dyDescent="0.3">
      <c r="A160" s="3">
        <v>44785</v>
      </c>
      <c r="B160" s="6">
        <v>135.46</v>
      </c>
      <c r="C160" s="6">
        <v>211.07</v>
      </c>
      <c r="D160" s="6">
        <v>279.91000000000003</v>
      </c>
      <c r="E160" s="6">
        <f>_xlfn.XLOOKUP(A160,'[1]Price History'!$A$3:$A$946,'[1]Price History'!$K$3:$K$946)</f>
        <v>303.62</v>
      </c>
      <c r="F160" s="6">
        <v>222.25</v>
      </c>
    </row>
    <row r="161" spans="1:6" x14ac:dyDescent="0.3">
      <c r="A161" s="2">
        <v>44788</v>
      </c>
      <c r="B161" s="6">
        <v>135.46</v>
      </c>
      <c r="C161" s="6">
        <v>211.07</v>
      </c>
      <c r="D161" s="6">
        <v>279.91000000000003</v>
      </c>
      <c r="E161" s="6">
        <f>E160</f>
        <v>303.62</v>
      </c>
      <c r="F161" s="6">
        <v>222.25</v>
      </c>
    </row>
    <row r="162" spans="1:6" x14ac:dyDescent="0.3">
      <c r="A162" s="3">
        <v>44789</v>
      </c>
      <c r="B162" s="6">
        <v>135.46</v>
      </c>
      <c r="C162" s="6">
        <v>211.07</v>
      </c>
      <c r="D162" s="6">
        <v>279.91000000000003</v>
      </c>
      <c r="E162" s="6">
        <f>E161</f>
        <v>303.62</v>
      </c>
      <c r="F162" s="6">
        <v>222.25</v>
      </c>
    </row>
    <row r="163" spans="1:6" x14ac:dyDescent="0.3">
      <c r="A163" s="2">
        <v>44790</v>
      </c>
      <c r="B163" s="6">
        <v>135.46</v>
      </c>
      <c r="C163" s="6">
        <v>211.07</v>
      </c>
      <c r="D163" s="6">
        <v>279.91000000000003</v>
      </c>
      <c r="E163" s="6">
        <f>E162</f>
        <v>303.62</v>
      </c>
      <c r="F163" s="6">
        <v>222.25</v>
      </c>
    </row>
    <row r="164" spans="1:6" x14ac:dyDescent="0.3">
      <c r="A164" s="3">
        <v>44791</v>
      </c>
      <c r="B164" s="6">
        <v>135.46</v>
      </c>
      <c r="C164" s="6">
        <v>211.07</v>
      </c>
      <c r="D164" s="6">
        <v>279.91000000000003</v>
      </c>
      <c r="E164" s="6">
        <f>E163</f>
        <v>303.62</v>
      </c>
      <c r="F164" s="6">
        <v>222.25</v>
      </c>
    </row>
    <row r="165" spans="1:6" x14ac:dyDescent="0.3">
      <c r="A165" s="2">
        <v>44792</v>
      </c>
      <c r="B165" s="6">
        <v>161.43</v>
      </c>
      <c r="C165" s="6">
        <v>244.45</v>
      </c>
      <c r="D165" s="6">
        <v>314.10000000000002</v>
      </c>
      <c r="E165" s="6">
        <f>_xlfn.XLOOKUP(A165,'[1]Price History'!$A$3:$A$946,'[1]Price History'!$K$3:$K$946)</f>
        <v>346.77</v>
      </c>
      <c r="F165" s="6">
        <v>210.12</v>
      </c>
    </row>
    <row r="166" spans="1:6" x14ac:dyDescent="0.3">
      <c r="A166" s="3">
        <v>44795</v>
      </c>
      <c r="B166" s="6">
        <v>161.43</v>
      </c>
      <c r="C166" s="6">
        <v>244.45</v>
      </c>
      <c r="D166" s="6">
        <v>314.10000000000002</v>
      </c>
      <c r="E166" s="6">
        <f>E165</f>
        <v>346.77</v>
      </c>
      <c r="F166" s="6">
        <v>210.12</v>
      </c>
    </row>
    <row r="167" spans="1:6" x14ac:dyDescent="0.3">
      <c r="A167" s="2">
        <v>44796</v>
      </c>
      <c r="B167" s="6">
        <v>161.43</v>
      </c>
      <c r="C167" s="6">
        <v>244.45</v>
      </c>
      <c r="D167" s="6">
        <v>314.10000000000002</v>
      </c>
      <c r="E167" s="6">
        <f>E166</f>
        <v>346.77</v>
      </c>
      <c r="F167" s="6">
        <v>210.12</v>
      </c>
    </row>
    <row r="168" spans="1:6" x14ac:dyDescent="0.3">
      <c r="A168" s="3">
        <v>44797</v>
      </c>
      <c r="B168" s="6">
        <v>161.43</v>
      </c>
      <c r="C168" s="6">
        <v>244.45</v>
      </c>
      <c r="D168" s="6">
        <v>314.10000000000002</v>
      </c>
      <c r="E168" s="6">
        <f>E167</f>
        <v>346.77</v>
      </c>
      <c r="F168" s="6">
        <v>210.12</v>
      </c>
    </row>
    <row r="169" spans="1:6" x14ac:dyDescent="0.3">
      <c r="A169" s="2">
        <v>44798</v>
      </c>
      <c r="B169" s="6">
        <v>161.43</v>
      </c>
      <c r="C169" s="6">
        <v>244.45</v>
      </c>
      <c r="D169" s="6">
        <v>314.10000000000002</v>
      </c>
      <c r="E169" s="6">
        <f>E168</f>
        <v>346.77</v>
      </c>
      <c r="F169" s="6">
        <v>210.12</v>
      </c>
    </row>
    <row r="170" spans="1:6" x14ac:dyDescent="0.3">
      <c r="A170" s="3">
        <v>44799</v>
      </c>
      <c r="B170" s="6">
        <v>156.81</v>
      </c>
      <c r="C170" s="6">
        <v>250.45</v>
      </c>
      <c r="D170" s="6">
        <v>317.77</v>
      </c>
      <c r="E170" s="6">
        <f>_xlfn.XLOOKUP(A170,'[1]Price History'!$A$3:$A$946,'[1]Price History'!$K$3:$K$946)</f>
        <v>361.63</v>
      </c>
      <c r="F170" s="6">
        <v>214.47</v>
      </c>
    </row>
    <row r="171" spans="1:6" x14ac:dyDescent="0.3">
      <c r="A171" s="2">
        <v>44803</v>
      </c>
      <c r="B171" s="6">
        <v>156.81</v>
      </c>
      <c r="C171" s="6">
        <v>250.45</v>
      </c>
      <c r="D171" s="6">
        <v>317.77</v>
      </c>
      <c r="E171" s="6">
        <f>E170</f>
        <v>361.63</v>
      </c>
      <c r="F171" s="6">
        <v>214.47</v>
      </c>
    </row>
    <row r="172" spans="1:6" x14ac:dyDescent="0.3">
      <c r="A172" s="3">
        <v>44804</v>
      </c>
      <c r="B172" s="6">
        <v>156.81</v>
      </c>
      <c r="C172" s="6">
        <v>250.45</v>
      </c>
      <c r="D172" s="6">
        <v>317.77</v>
      </c>
      <c r="E172" s="6">
        <f>E171</f>
        <v>361.63</v>
      </c>
      <c r="F172" s="6">
        <v>214.47</v>
      </c>
    </row>
    <row r="173" spans="1:6" x14ac:dyDescent="0.3">
      <c r="A173" s="2">
        <v>44805</v>
      </c>
      <c r="B173" s="6">
        <v>156.81</v>
      </c>
      <c r="C173" s="6">
        <v>250.45</v>
      </c>
      <c r="D173" s="6">
        <v>317.77</v>
      </c>
      <c r="E173" s="6">
        <f>E172</f>
        <v>361.63</v>
      </c>
      <c r="F173" s="6">
        <v>214.47</v>
      </c>
    </row>
    <row r="174" spans="1:6" x14ac:dyDescent="0.3">
      <c r="A174" s="3">
        <v>44806</v>
      </c>
      <c r="B174" s="6">
        <v>149.02000000000001</v>
      </c>
      <c r="C174" s="6">
        <v>245.77</v>
      </c>
      <c r="D174" s="6">
        <v>313.05</v>
      </c>
      <c r="E174" s="6">
        <f>_xlfn.XLOOKUP(A174,'[1]Price History'!$A$3:$A$946,'[1]Price History'!$K$3:$K$946)</f>
        <v>335.58</v>
      </c>
      <c r="F174" s="6">
        <v>223.82</v>
      </c>
    </row>
    <row r="175" spans="1:6" x14ac:dyDescent="0.3">
      <c r="A175" s="2">
        <v>44809</v>
      </c>
      <c r="B175" s="6">
        <v>149.02000000000001</v>
      </c>
      <c r="C175" s="6">
        <v>245.77</v>
      </c>
      <c r="D175" s="6">
        <v>313.05</v>
      </c>
      <c r="E175" s="6">
        <f>E174</f>
        <v>335.58</v>
      </c>
      <c r="F175" s="6">
        <v>223.82</v>
      </c>
    </row>
    <row r="176" spans="1:6" x14ac:dyDescent="0.3">
      <c r="A176" s="3">
        <v>44810</v>
      </c>
      <c r="B176" s="6">
        <v>149.02000000000001</v>
      </c>
      <c r="C176" s="6">
        <v>245.77</v>
      </c>
      <c r="D176" s="6">
        <v>313.05</v>
      </c>
      <c r="E176" s="6">
        <f>E175</f>
        <v>335.58</v>
      </c>
      <c r="F176" s="6">
        <v>223.82</v>
      </c>
    </row>
    <row r="177" spans="1:6" x14ac:dyDescent="0.3">
      <c r="A177" s="2">
        <v>44811</v>
      </c>
      <c r="B177" s="6">
        <v>149.02000000000001</v>
      </c>
      <c r="C177" s="6">
        <v>245.77</v>
      </c>
      <c r="D177" s="6">
        <v>313.05</v>
      </c>
      <c r="E177" s="6">
        <f>E176</f>
        <v>335.58</v>
      </c>
      <c r="F177" s="6">
        <v>223.82</v>
      </c>
    </row>
    <row r="178" spans="1:6" x14ac:dyDescent="0.3">
      <c r="A178" s="3">
        <v>44812</v>
      </c>
      <c r="B178" s="6">
        <v>149.02000000000001</v>
      </c>
      <c r="C178" s="6">
        <v>245.77</v>
      </c>
      <c r="D178" s="6">
        <v>313.05</v>
      </c>
      <c r="E178" s="6">
        <f>E177</f>
        <v>335.58</v>
      </c>
      <c r="F178" s="6">
        <v>223.82</v>
      </c>
    </row>
    <row r="179" spans="1:6" x14ac:dyDescent="0.3">
      <c r="A179" s="2">
        <v>44813</v>
      </c>
      <c r="B179" s="6">
        <v>146.72999999999999</v>
      </c>
      <c r="C179" s="6">
        <v>239.97</v>
      </c>
      <c r="D179" s="6">
        <v>305.48</v>
      </c>
      <c r="E179" s="6">
        <f>_xlfn.XLOOKUP(A179,'[1]Price History'!$A$3:$A$946,'[1]Price History'!$K$3:$K$946)</f>
        <v>324.56</v>
      </c>
      <c r="F179" s="6">
        <v>213.11</v>
      </c>
    </row>
    <row r="180" spans="1:6" x14ac:dyDescent="0.3">
      <c r="A180" s="3">
        <v>44816</v>
      </c>
      <c r="B180" s="6">
        <v>146.72999999999999</v>
      </c>
      <c r="C180" s="6">
        <v>239.97</v>
      </c>
      <c r="D180" s="6">
        <v>305.48</v>
      </c>
      <c r="E180" s="6">
        <f>E179</f>
        <v>324.56</v>
      </c>
      <c r="F180" s="6">
        <v>213.11</v>
      </c>
    </row>
    <row r="181" spans="1:6" x14ac:dyDescent="0.3">
      <c r="A181" s="2">
        <v>44817</v>
      </c>
      <c r="B181" s="6">
        <v>146.72999999999999</v>
      </c>
      <c r="C181" s="6">
        <v>239.97</v>
      </c>
      <c r="D181" s="6">
        <v>305.48</v>
      </c>
      <c r="E181" s="6">
        <f>E180</f>
        <v>324.56</v>
      </c>
      <c r="F181" s="6">
        <v>213.11</v>
      </c>
    </row>
    <row r="182" spans="1:6" x14ac:dyDescent="0.3">
      <c r="A182" s="3">
        <v>44818</v>
      </c>
      <c r="B182" s="6">
        <v>146.72999999999999</v>
      </c>
      <c r="C182" s="6">
        <v>239.97</v>
      </c>
      <c r="D182" s="6">
        <v>305.48</v>
      </c>
      <c r="E182" s="6">
        <f>E181</f>
        <v>324.56</v>
      </c>
      <c r="F182" s="6">
        <v>213.11</v>
      </c>
    </row>
    <row r="183" spans="1:6" x14ac:dyDescent="0.3">
      <c r="A183" s="2">
        <v>44819</v>
      </c>
      <c r="B183" s="6">
        <v>146.72999999999999</v>
      </c>
      <c r="C183" s="6">
        <v>239.97</v>
      </c>
      <c r="D183" s="6">
        <v>305.48</v>
      </c>
      <c r="E183" s="6">
        <f>E182</f>
        <v>324.56</v>
      </c>
      <c r="F183" s="6">
        <v>213.11</v>
      </c>
    </row>
    <row r="184" spans="1:6" x14ac:dyDescent="0.3">
      <c r="A184" s="3">
        <v>44820</v>
      </c>
      <c r="B184" s="6">
        <v>131.83000000000001</v>
      </c>
      <c r="C184" s="6">
        <v>205.34</v>
      </c>
      <c r="D184" s="6">
        <v>268.75</v>
      </c>
      <c r="E184" s="6">
        <f>_xlfn.XLOOKUP(A184,'[1]Price History'!$A$3:$A$946,'[1]Price History'!$K$3:$K$946)</f>
        <v>281.10000000000002</v>
      </c>
      <c r="F184" s="6">
        <v>211.47</v>
      </c>
    </row>
    <row r="185" spans="1:6" x14ac:dyDescent="0.3">
      <c r="A185" s="2">
        <v>44824</v>
      </c>
      <c r="B185" s="6">
        <v>131.83000000000001</v>
      </c>
      <c r="C185" s="6">
        <v>205.34</v>
      </c>
      <c r="D185" s="6">
        <v>268.75</v>
      </c>
      <c r="E185" s="6">
        <f>E184</f>
        <v>281.10000000000002</v>
      </c>
      <c r="F185" s="6">
        <v>211.47</v>
      </c>
    </row>
    <row r="186" spans="1:6" x14ac:dyDescent="0.3">
      <c r="A186" s="3">
        <v>44825</v>
      </c>
      <c r="B186" s="6">
        <v>131.83000000000001</v>
      </c>
      <c r="C186" s="6">
        <v>205.34</v>
      </c>
      <c r="D186" s="6">
        <v>268.75</v>
      </c>
      <c r="E186" s="6">
        <f>E185</f>
        <v>281.10000000000002</v>
      </c>
      <c r="F186" s="6">
        <v>211.47</v>
      </c>
    </row>
    <row r="187" spans="1:6" x14ac:dyDescent="0.3">
      <c r="A187" s="2">
        <v>44826</v>
      </c>
      <c r="B187" s="6">
        <v>131.83000000000001</v>
      </c>
      <c r="C187" s="6">
        <v>205.34</v>
      </c>
      <c r="D187" s="6">
        <v>268.75</v>
      </c>
      <c r="E187" s="6">
        <f>E186</f>
        <v>281.10000000000002</v>
      </c>
      <c r="F187" s="6">
        <v>211.47</v>
      </c>
    </row>
    <row r="188" spans="1:6" x14ac:dyDescent="0.3">
      <c r="A188" s="3">
        <v>44827</v>
      </c>
      <c r="B188" s="6">
        <v>123.13</v>
      </c>
      <c r="C188" s="6">
        <v>199.2</v>
      </c>
      <c r="D188" s="6">
        <v>259.31</v>
      </c>
      <c r="E188" s="6">
        <f>_xlfn.XLOOKUP(A188,'[1]Price History'!$A$3:$A$946,'[1]Price History'!$K$3:$K$946)</f>
        <v>269.06</v>
      </c>
      <c r="F188" s="6">
        <v>207.46</v>
      </c>
    </row>
    <row r="189" spans="1:6" x14ac:dyDescent="0.3">
      <c r="A189" s="2">
        <v>44830</v>
      </c>
      <c r="B189" s="6">
        <v>123.13</v>
      </c>
      <c r="C189" s="6">
        <v>199.2</v>
      </c>
      <c r="D189" s="6">
        <v>259.31</v>
      </c>
      <c r="E189" s="6">
        <f>E188</f>
        <v>269.06</v>
      </c>
      <c r="F189" s="6">
        <v>207.46</v>
      </c>
    </row>
    <row r="190" spans="1:6" x14ac:dyDescent="0.3">
      <c r="A190" s="3">
        <v>44831</v>
      </c>
      <c r="B190" s="6">
        <v>123.13</v>
      </c>
      <c r="C190" s="6">
        <v>199.2</v>
      </c>
      <c r="D190" s="6">
        <v>259.31</v>
      </c>
      <c r="E190" s="6">
        <f>E189</f>
        <v>269.06</v>
      </c>
      <c r="F190" s="6">
        <v>207.46</v>
      </c>
    </row>
    <row r="191" spans="1:6" x14ac:dyDescent="0.3">
      <c r="A191" s="2">
        <v>44832</v>
      </c>
      <c r="B191" s="6">
        <v>123.13</v>
      </c>
      <c r="C191" s="6">
        <v>199.2</v>
      </c>
      <c r="D191" s="6">
        <v>259.31</v>
      </c>
      <c r="E191" s="6">
        <f>E190</f>
        <v>269.06</v>
      </c>
      <c r="F191" s="6">
        <v>207.46</v>
      </c>
    </row>
    <row r="192" spans="1:6" x14ac:dyDescent="0.3">
      <c r="A192" s="3">
        <v>44833</v>
      </c>
      <c r="B192" s="6">
        <v>123.13</v>
      </c>
      <c r="C192" s="6">
        <v>199.2</v>
      </c>
      <c r="D192" s="6">
        <v>259.31</v>
      </c>
      <c r="E192" s="6">
        <f>E191</f>
        <v>269.06</v>
      </c>
      <c r="F192" s="6">
        <v>207.46</v>
      </c>
    </row>
    <row r="193" spans="1:6" x14ac:dyDescent="0.3">
      <c r="A193" s="2">
        <v>44834</v>
      </c>
      <c r="B193" s="6">
        <v>137.4</v>
      </c>
      <c r="C193" s="6">
        <v>209.12</v>
      </c>
      <c r="D193" s="6">
        <v>269.39</v>
      </c>
      <c r="E193" s="6">
        <f>_xlfn.XLOOKUP(A193,'[1]Price History'!$A$3:$A$946,'[1]Price History'!$K$3:$K$946)</f>
        <v>267.5</v>
      </c>
      <c r="F193" s="6">
        <v>183.88</v>
      </c>
    </row>
    <row r="194" spans="1:6" x14ac:dyDescent="0.3">
      <c r="A194" s="3">
        <v>44837</v>
      </c>
      <c r="B194" s="6">
        <v>137.4</v>
      </c>
      <c r="C194" s="6">
        <v>209.12</v>
      </c>
      <c r="D194" s="6">
        <v>269.39</v>
      </c>
      <c r="E194" s="6">
        <f>E193</f>
        <v>267.5</v>
      </c>
      <c r="F194" s="6">
        <v>183.88</v>
      </c>
    </row>
    <row r="195" spans="1:6" x14ac:dyDescent="0.3">
      <c r="A195" s="2">
        <v>44838</v>
      </c>
      <c r="B195" s="6">
        <v>137.4</v>
      </c>
      <c r="C195" s="6">
        <v>209.12</v>
      </c>
      <c r="D195" s="6">
        <v>269.39</v>
      </c>
      <c r="E195" s="6">
        <f>E194</f>
        <v>267.5</v>
      </c>
      <c r="F195" s="6">
        <v>183.88</v>
      </c>
    </row>
    <row r="196" spans="1:6" x14ac:dyDescent="0.3">
      <c r="A196" s="3">
        <v>44839</v>
      </c>
      <c r="B196" s="6">
        <v>137.4</v>
      </c>
      <c r="C196" s="6">
        <v>209.12</v>
      </c>
      <c r="D196" s="6">
        <v>269.39</v>
      </c>
      <c r="E196" s="6">
        <f>E195</f>
        <v>267.5</v>
      </c>
      <c r="F196" s="6">
        <v>183.88</v>
      </c>
    </row>
    <row r="197" spans="1:6" x14ac:dyDescent="0.3">
      <c r="A197" s="2">
        <v>44840</v>
      </c>
      <c r="B197" s="6">
        <v>137.4</v>
      </c>
      <c r="C197" s="6">
        <v>209.12</v>
      </c>
      <c r="D197" s="6">
        <v>269.39</v>
      </c>
      <c r="E197" s="6">
        <f>E196</f>
        <v>267.5</v>
      </c>
      <c r="F197" s="6">
        <v>183.88</v>
      </c>
    </row>
    <row r="198" spans="1:6" x14ac:dyDescent="0.3">
      <c r="A198" s="3">
        <v>44841</v>
      </c>
      <c r="B198" s="6">
        <v>133.80000000000001</v>
      </c>
      <c r="C198" s="6">
        <v>194.27</v>
      </c>
      <c r="D198" s="6">
        <v>251.91</v>
      </c>
      <c r="E198" s="6">
        <f>_xlfn.XLOOKUP(A198,'[1]Price History'!$A$3:$A$946,'[1]Price History'!$K$3:$K$946)</f>
        <v>252.2</v>
      </c>
      <c r="F198" s="6">
        <v>190.43</v>
      </c>
    </row>
    <row r="199" spans="1:6" x14ac:dyDescent="0.3">
      <c r="A199" s="2">
        <v>44844</v>
      </c>
      <c r="B199" s="6">
        <v>133.80000000000001</v>
      </c>
      <c r="C199" s="6">
        <v>194.27</v>
      </c>
      <c r="D199" s="6">
        <v>251.91</v>
      </c>
      <c r="E199" s="6">
        <f>E198</f>
        <v>252.2</v>
      </c>
      <c r="F199" s="6">
        <v>190.43</v>
      </c>
    </row>
    <row r="200" spans="1:6" x14ac:dyDescent="0.3">
      <c r="A200" s="3">
        <v>44845</v>
      </c>
      <c r="B200" s="6">
        <v>133.80000000000001</v>
      </c>
      <c r="C200" s="6">
        <v>194.27</v>
      </c>
      <c r="D200" s="6">
        <v>251.91</v>
      </c>
      <c r="E200" s="6">
        <f>E199</f>
        <v>252.2</v>
      </c>
      <c r="F200" s="6">
        <v>190.43</v>
      </c>
    </row>
    <row r="201" spans="1:6" x14ac:dyDescent="0.3">
      <c r="A201" s="2">
        <v>44846</v>
      </c>
      <c r="B201" s="6">
        <v>133.80000000000001</v>
      </c>
      <c r="C201" s="6">
        <v>194.27</v>
      </c>
      <c r="D201" s="6">
        <v>251.91</v>
      </c>
      <c r="E201" s="6">
        <f>E200</f>
        <v>252.2</v>
      </c>
      <c r="F201" s="6">
        <v>190.43</v>
      </c>
    </row>
    <row r="202" spans="1:6" x14ac:dyDescent="0.3">
      <c r="A202" s="3">
        <v>44847</v>
      </c>
      <c r="B202" s="6">
        <v>133.80000000000001</v>
      </c>
      <c r="C202" s="6">
        <v>194.27</v>
      </c>
      <c r="D202" s="6">
        <v>251.91</v>
      </c>
      <c r="E202" s="6">
        <f>E201</f>
        <v>252.2</v>
      </c>
      <c r="F202" s="6">
        <v>190.43</v>
      </c>
    </row>
    <row r="203" spans="1:6" x14ac:dyDescent="0.3">
      <c r="A203" s="2">
        <v>44848</v>
      </c>
      <c r="B203" s="6">
        <v>124.23</v>
      </c>
      <c r="C203" s="6">
        <v>176.57</v>
      </c>
      <c r="D203" s="6">
        <v>228.71</v>
      </c>
      <c r="E203" s="6">
        <f>_xlfn.XLOOKUP(A203,'[1]Price History'!$A$3:$A$946,'[1]Price History'!$K$3:$K$946)</f>
        <v>228.94</v>
      </c>
      <c r="F203" s="6">
        <v>185.92</v>
      </c>
    </row>
    <row r="204" spans="1:6" x14ac:dyDescent="0.3">
      <c r="A204" s="3">
        <v>44851</v>
      </c>
      <c r="B204" s="6">
        <v>124.23</v>
      </c>
      <c r="C204" s="6">
        <v>176.57</v>
      </c>
      <c r="D204" s="6">
        <v>228.71</v>
      </c>
      <c r="E204" s="6">
        <f>E203</f>
        <v>228.94</v>
      </c>
      <c r="F204" s="6">
        <v>185.92</v>
      </c>
    </row>
    <row r="205" spans="1:6" x14ac:dyDescent="0.3">
      <c r="A205" s="2">
        <v>44852</v>
      </c>
      <c r="B205" s="6">
        <v>124.23</v>
      </c>
      <c r="C205" s="6">
        <v>176.57</v>
      </c>
      <c r="D205" s="6">
        <v>228.71</v>
      </c>
      <c r="E205" s="6">
        <f>E204</f>
        <v>228.94</v>
      </c>
      <c r="F205" s="6">
        <v>185.92</v>
      </c>
    </row>
    <row r="206" spans="1:6" x14ac:dyDescent="0.3">
      <c r="A206" s="3">
        <v>44853</v>
      </c>
      <c r="B206" s="6">
        <v>124.23</v>
      </c>
      <c r="C206" s="6">
        <v>176.57</v>
      </c>
      <c r="D206" s="6">
        <v>228.71</v>
      </c>
      <c r="E206" s="6">
        <f>E205</f>
        <v>228.94</v>
      </c>
      <c r="F206" s="6">
        <v>185.92</v>
      </c>
    </row>
    <row r="207" spans="1:6" x14ac:dyDescent="0.3">
      <c r="A207" s="2">
        <v>44854</v>
      </c>
      <c r="B207" s="6">
        <v>124.23</v>
      </c>
      <c r="C207" s="6">
        <v>176.57</v>
      </c>
      <c r="D207" s="6">
        <v>228.71</v>
      </c>
      <c r="E207" s="6">
        <f>E206</f>
        <v>228.94</v>
      </c>
      <c r="F207" s="6">
        <v>185.92</v>
      </c>
    </row>
    <row r="208" spans="1:6" x14ac:dyDescent="0.3">
      <c r="A208" s="3">
        <v>44855</v>
      </c>
      <c r="B208" s="6">
        <v>115.27</v>
      </c>
      <c r="C208" s="6">
        <v>165.67</v>
      </c>
      <c r="D208" s="6">
        <v>216.02</v>
      </c>
      <c r="E208" s="6">
        <f>_xlfn.XLOOKUP(A208,'[1]Price History'!$A$3:$A$946,'[1]Price History'!$K$3:$K$946)</f>
        <v>229.33</v>
      </c>
      <c r="F208" s="6">
        <v>176.76</v>
      </c>
    </row>
    <row r="209" spans="1:6" x14ac:dyDescent="0.3">
      <c r="A209" s="2">
        <v>44858</v>
      </c>
      <c r="B209" s="6">
        <v>115.27</v>
      </c>
      <c r="C209" s="6">
        <v>165.67</v>
      </c>
      <c r="D209" s="6">
        <v>216.02</v>
      </c>
      <c r="E209" s="6">
        <f>E208</f>
        <v>229.33</v>
      </c>
      <c r="F209" s="6">
        <v>176.76</v>
      </c>
    </row>
    <row r="210" spans="1:6" x14ac:dyDescent="0.3">
      <c r="A210" s="3">
        <v>44859</v>
      </c>
      <c r="B210" s="6">
        <v>115.27</v>
      </c>
      <c r="C210" s="6">
        <v>165.67</v>
      </c>
      <c r="D210" s="6">
        <v>216.02</v>
      </c>
      <c r="E210" s="6">
        <f>E209</f>
        <v>229.33</v>
      </c>
      <c r="F210" s="6">
        <v>176.76</v>
      </c>
    </row>
    <row r="211" spans="1:6" x14ac:dyDescent="0.3">
      <c r="A211" s="2">
        <v>44860</v>
      </c>
      <c r="B211" s="6">
        <v>115.27</v>
      </c>
      <c r="C211" s="6">
        <v>165.67</v>
      </c>
      <c r="D211" s="6">
        <v>216.02</v>
      </c>
      <c r="E211" s="6">
        <f>E210</f>
        <v>229.33</v>
      </c>
      <c r="F211" s="6">
        <v>176.76</v>
      </c>
    </row>
    <row r="212" spans="1:6" x14ac:dyDescent="0.3">
      <c r="A212" s="3">
        <v>44861</v>
      </c>
      <c r="B212" s="6">
        <v>115.27</v>
      </c>
      <c r="C212" s="6">
        <v>165.67</v>
      </c>
      <c r="D212" s="6">
        <v>216.02</v>
      </c>
      <c r="E212" s="6">
        <f>E211</f>
        <v>229.33</v>
      </c>
      <c r="F212" s="6">
        <v>176.76</v>
      </c>
    </row>
    <row r="213" spans="1:6" x14ac:dyDescent="0.3">
      <c r="A213" s="2">
        <v>44862</v>
      </c>
      <c r="B213" s="6">
        <v>112.79</v>
      </c>
      <c r="C213" s="6">
        <v>156.97999999999999</v>
      </c>
      <c r="D213" s="6">
        <v>203.85</v>
      </c>
      <c r="E213" s="6">
        <f>_xlfn.XLOOKUP(A213,'[1]Price History'!$A$3:$A$946,'[1]Price History'!$K$3:$K$946)</f>
        <v>219.3</v>
      </c>
      <c r="F213" s="6">
        <v>176.32</v>
      </c>
    </row>
    <row r="214" spans="1:6" x14ac:dyDescent="0.3">
      <c r="A214" s="3">
        <v>44865</v>
      </c>
      <c r="B214" s="6">
        <v>112.79</v>
      </c>
      <c r="C214" s="6">
        <v>156.97999999999999</v>
      </c>
      <c r="D214" s="6">
        <v>203.85</v>
      </c>
      <c r="E214" s="6">
        <f>E213</f>
        <v>219.3</v>
      </c>
      <c r="F214" s="6">
        <v>176.32</v>
      </c>
    </row>
    <row r="215" spans="1:6" x14ac:dyDescent="0.3">
      <c r="A215" s="2">
        <v>44866</v>
      </c>
      <c r="B215" s="6">
        <v>112.79</v>
      </c>
      <c r="C215" s="6">
        <v>156.97999999999999</v>
      </c>
      <c r="D215" s="6">
        <v>203.85</v>
      </c>
      <c r="E215" s="6">
        <f>E214</f>
        <v>219.3</v>
      </c>
      <c r="F215" s="6">
        <v>176.32</v>
      </c>
    </row>
    <row r="216" spans="1:6" x14ac:dyDescent="0.3">
      <c r="A216" s="3">
        <v>44867</v>
      </c>
      <c r="B216" s="6">
        <v>112.79</v>
      </c>
      <c r="C216" s="6">
        <v>156.97999999999999</v>
      </c>
      <c r="D216" s="6">
        <v>203.85</v>
      </c>
      <c r="E216" s="6">
        <f>E215</f>
        <v>219.3</v>
      </c>
      <c r="F216" s="6">
        <v>176.32</v>
      </c>
    </row>
    <row r="217" spans="1:6" x14ac:dyDescent="0.3">
      <c r="A217" s="2">
        <v>44868</v>
      </c>
      <c r="B217" s="6">
        <v>112.79</v>
      </c>
      <c r="C217" s="6">
        <v>156.97999999999999</v>
      </c>
      <c r="D217" s="6">
        <v>203.85</v>
      </c>
      <c r="E217" s="6">
        <f>E216</f>
        <v>219.3</v>
      </c>
      <c r="F217" s="6">
        <v>176.32</v>
      </c>
    </row>
    <row r="218" spans="1:6" x14ac:dyDescent="0.3">
      <c r="A218" s="3">
        <v>44869</v>
      </c>
      <c r="B218" s="6">
        <v>125.47</v>
      </c>
      <c r="C218" s="6">
        <v>147</v>
      </c>
      <c r="D218" s="6">
        <v>191.34</v>
      </c>
      <c r="E218" s="6">
        <f>_xlfn.XLOOKUP(A218,'[1]Price History'!$A$3:$A$946,'[1]Price History'!$K$3:$K$946)</f>
        <v>205.64</v>
      </c>
      <c r="F218" s="6">
        <v>171.86</v>
      </c>
    </row>
    <row r="219" spans="1:6" x14ac:dyDescent="0.3">
      <c r="A219" s="2">
        <v>44872</v>
      </c>
      <c r="B219" s="6">
        <v>125.47</v>
      </c>
      <c r="C219" s="6">
        <v>147</v>
      </c>
      <c r="D219" s="6">
        <v>191.34</v>
      </c>
      <c r="E219" s="6">
        <f>E218</f>
        <v>205.64</v>
      </c>
      <c r="F219" s="6">
        <v>171.86</v>
      </c>
    </row>
    <row r="220" spans="1:6" x14ac:dyDescent="0.3">
      <c r="A220" s="3">
        <v>44873</v>
      </c>
      <c r="B220" s="6">
        <v>125.47</v>
      </c>
      <c r="C220" s="6">
        <v>147</v>
      </c>
      <c r="D220" s="6">
        <v>191.34</v>
      </c>
      <c r="E220" s="6">
        <f>E219</f>
        <v>205.64</v>
      </c>
      <c r="F220" s="6">
        <v>171.86</v>
      </c>
    </row>
    <row r="221" spans="1:6" x14ac:dyDescent="0.3">
      <c r="A221" s="2">
        <v>44874</v>
      </c>
      <c r="B221" s="6">
        <v>125.47</v>
      </c>
      <c r="C221" s="6">
        <v>147</v>
      </c>
      <c r="D221" s="6">
        <v>191.34</v>
      </c>
      <c r="E221" s="6">
        <f>E220</f>
        <v>205.64</v>
      </c>
      <c r="F221" s="6">
        <v>171.86</v>
      </c>
    </row>
    <row r="222" spans="1:6" x14ac:dyDescent="0.3">
      <c r="A222" s="3">
        <v>44875</v>
      </c>
      <c r="B222" s="6">
        <v>125.47</v>
      </c>
      <c r="C222" s="6">
        <v>147</v>
      </c>
      <c r="D222" s="6">
        <v>191.34</v>
      </c>
      <c r="E222" s="6">
        <f>E221</f>
        <v>205.64</v>
      </c>
      <c r="F222" s="6">
        <v>171.86</v>
      </c>
    </row>
    <row r="223" spans="1:6" x14ac:dyDescent="0.3">
      <c r="A223" s="2">
        <v>44876</v>
      </c>
      <c r="B223" s="6">
        <v>125.18</v>
      </c>
      <c r="C223" s="6">
        <v>143.85</v>
      </c>
      <c r="D223" s="6">
        <v>164.24</v>
      </c>
      <c r="E223" s="6">
        <f>_xlfn.XLOOKUP(A223,'[1]Price History'!$A$3:$A$946,'[1]Price History'!$K$3:$K$946)</f>
        <v>172.55</v>
      </c>
      <c r="F223" s="6">
        <v>158.44999999999999</v>
      </c>
    </row>
    <row r="224" spans="1:6" x14ac:dyDescent="0.3">
      <c r="A224" s="3">
        <v>44879</v>
      </c>
      <c r="B224" s="6">
        <v>125.18</v>
      </c>
      <c r="C224" s="6">
        <v>143.85</v>
      </c>
      <c r="D224" s="6">
        <v>164.24</v>
      </c>
      <c r="E224" s="6">
        <f>E223</f>
        <v>172.55</v>
      </c>
      <c r="F224" s="6">
        <v>158.44999999999999</v>
      </c>
    </row>
    <row r="225" spans="1:6" x14ac:dyDescent="0.3">
      <c r="A225" s="2">
        <v>44880</v>
      </c>
      <c r="B225" s="6">
        <v>125.18</v>
      </c>
      <c r="C225" s="6">
        <v>143.85</v>
      </c>
      <c r="D225" s="6">
        <v>164.24</v>
      </c>
      <c r="E225" s="6">
        <f>E224</f>
        <v>172.55</v>
      </c>
      <c r="F225" s="6">
        <v>158.44999999999999</v>
      </c>
    </row>
    <row r="226" spans="1:6" x14ac:dyDescent="0.3">
      <c r="A226" s="3">
        <v>44881</v>
      </c>
      <c r="B226" s="6">
        <v>125.18</v>
      </c>
      <c r="C226" s="6">
        <v>143.85</v>
      </c>
      <c r="D226" s="6">
        <v>164.24</v>
      </c>
      <c r="E226" s="6">
        <f>E225</f>
        <v>172.55</v>
      </c>
      <c r="F226" s="6">
        <v>158.44999999999999</v>
      </c>
    </row>
    <row r="227" spans="1:6" x14ac:dyDescent="0.3">
      <c r="A227" s="2">
        <v>44882</v>
      </c>
      <c r="B227" s="6">
        <v>125.18</v>
      </c>
      <c r="C227" s="6">
        <v>143.85</v>
      </c>
      <c r="D227" s="6">
        <v>164.24</v>
      </c>
      <c r="E227" s="6">
        <f>E226</f>
        <v>172.55</v>
      </c>
      <c r="F227" s="6">
        <v>158.44999999999999</v>
      </c>
    </row>
    <row r="228" spans="1:6" x14ac:dyDescent="0.3">
      <c r="A228" s="3">
        <v>44883</v>
      </c>
      <c r="B228" s="6">
        <v>119.49</v>
      </c>
      <c r="C228" s="6">
        <v>147.03</v>
      </c>
      <c r="D228" s="6">
        <v>173.52</v>
      </c>
      <c r="E228" s="6">
        <f>_xlfn.XLOOKUP(A228,'[1]Price History'!$A$3:$A$946,'[1]Price History'!$K$3:$K$946)</f>
        <v>181.7</v>
      </c>
      <c r="F228" s="6">
        <v>154.97999999999999</v>
      </c>
    </row>
    <row r="229" spans="1:6" x14ac:dyDescent="0.3">
      <c r="A229" s="2">
        <v>44886</v>
      </c>
      <c r="B229" s="6">
        <v>119.49</v>
      </c>
      <c r="C229" s="6">
        <v>147.03</v>
      </c>
      <c r="D229" s="6">
        <v>173.52</v>
      </c>
      <c r="E229" s="6">
        <f>E228</f>
        <v>181.7</v>
      </c>
      <c r="F229" s="6">
        <v>154.97999999999999</v>
      </c>
    </row>
    <row r="230" spans="1:6" x14ac:dyDescent="0.3">
      <c r="A230" s="3">
        <v>44887</v>
      </c>
      <c r="B230" s="6">
        <v>119.49</v>
      </c>
      <c r="C230" s="6">
        <v>147.03</v>
      </c>
      <c r="D230" s="6">
        <v>173.52</v>
      </c>
      <c r="E230" s="6">
        <f>E229</f>
        <v>181.7</v>
      </c>
      <c r="F230" s="6">
        <v>154.97999999999999</v>
      </c>
    </row>
    <row r="231" spans="1:6" x14ac:dyDescent="0.3">
      <c r="A231" s="2">
        <v>44888</v>
      </c>
      <c r="B231" s="6">
        <v>119.49</v>
      </c>
      <c r="C231" s="6">
        <v>147.03</v>
      </c>
      <c r="D231" s="6">
        <v>173.52</v>
      </c>
      <c r="E231" s="6">
        <f>E230</f>
        <v>181.7</v>
      </c>
      <c r="F231" s="6">
        <v>154.97999999999999</v>
      </c>
    </row>
    <row r="232" spans="1:6" x14ac:dyDescent="0.3">
      <c r="A232" s="3">
        <v>44889</v>
      </c>
      <c r="B232" s="6">
        <v>119.49</v>
      </c>
      <c r="C232" s="6">
        <v>147.03</v>
      </c>
      <c r="D232" s="6">
        <v>173.52</v>
      </c>
      <c r="E232" s="6">
        <f>E231</f>
        <v>181.7</v>
      </c>
      <c r="F232" s="6">
        <v>154.97999999999999</v>
      </c>
    </row>
    <row r="233" spans="1:6" x14ac:dyDescent="0.3">
      <c r="A233" s="2">
        <v>44890</v>
      </c>
      <c r="B233" s="6">
        <v>130.77000000000001</v>
      </c>
      <c r="C233" s="6">
        <v>162.80000000000001</v>
      </c>
      <c r="D233" s="6">
        <v>191.17</v>
      </c>
      <c r="E233" s="6">
        <f>_xlfn.XLOOKUP(A233,'[1]Price History'!$A$3:$A$946,'[1]Price History'!$K$3:$K$946)</f>
        <v>217.08</v>
      </c>
      <c r="F233" s="6">
        <v>157.55000000000001</v>
      </c>
    </row>
    <row r="234" spans="1:6" x14ac:dyDescent="0.3">
      <c r="A234" s="3">
        <v>44893</v>
      </c>
      <c r="B234" s="6">
        <v>130.77000000000001</v>
      </c>
      <c r="C234" s="6">
        <v>162.80000000000001</v>
      </c>
      <c r="D234" s="6">
        <v>191.17</v>
      </c>
      <c r="E234" s="6">
        <f>E233</f>
        <v>217.08</v>
      </c>
      <c r="F234" s="6">
        <v>157.55000000000001</v>
      </c>
    </row>
    <row r="235" spans="1:6" x14ac:dyDescent="0.3">
      <c r="A235" s="2">
        <v>44894</v>
      </c>
      <c r="B235" s="6">
        <v>130.77000000000001</v>
      </c>
      <c r="C235" s="6">
        <v>162.80000000000001</v>
      </c>
      <c r="D235" s="6">
        <v>191.17</v>
      </c>
      <c r="E235" s="6">
        <f>E234</f>
        <v>217.08</v>
      </c>
      <c r="F235" s="6">
        <v>157.55000000000001</v>
      </c>
    </row>
    <row r="236" spans="1:6" x14ac:dyDescent="0.3">
      <c r="A236" s="3">
        <v>44895</v>
      </c>
      <c r="B236" s="6">
        <v>130.77000000000001</v>
      </c>
      <c r="C236" s="6">
        <v>162.80000000000001</v>
      </c>
      <c r="D236" s="6">
        <v>191.17</v>
      </c>
      <c r="E236" s="6">
        <f>E235</f>
        <v>217.08</v>
      </c>
      <c r="F236" s="6">
        <v>157.55000000000001</v>
      </c>
    </row>
    <row r="237" spans="1:6" x14ac:dyDescent="0.3">
      <c r="A237" s="2">
        <v>44896</v>
      </c>
      <c r="B237" s="6">
        <v>130.77000000000001</v>
      </c>
      <c r="C237" s="6">
        <v>162.80000000000001</v>
      </c>
      <c r="D237" s="6">
        <v>191.17</v>
      </c>
      <c r="E237" s="6">
        <f>E236</f>
        <v>217.08</v>
      </c>
      <c r="F237" s="6">
        <v>157.55000000000001</v>
      </c>
    </row>
    <row r="238" spans="1:6" x14ac:dyDescent="0.3">
      <c r="A238" s="3">
        <v>44897</v>
      </c>
      <c r="B238" s="6">
        <v>145.30000000000001</v>
      </c>
      <c r="C238" s="6">
        <v>175.18</v>
      </c>
      <c r="D238" s="6">
        <v>210.88</v>
      </c>
      <c r="E238" s="6">
        <f>_xlfn.XLOOKUP(A238,'[1]Price History'!$A$3:$A$946,'[1]Price History'!$K$3:$K$946)</f>
        <v>236.32</v>
      </c>
      <c r="F238" s="6">
        <v>165.72</v>
      </c>
    </row>
    <row r="239" spans="1:6" x14ac:dyDescent="0.3">
      <c r="A239" s="2">
        <v>44900</v>
      </c>
      <c r="B239" s="6">
        <v>145.30000000000001</v>
      </c>
      <c r="C239" s="6">
        <v>175.18</v>
      </c>
      <c r="D239" s="6">
        <v>210.88</v>
      </c>
      <c r="E239" s="6">
        <f>E238</f>
        <v>236.32</v>
      </c>
      <c r="F239" s="6">
        <v>165.72</v>
      </c>
    </row>
    <row r="240" spans="1:6" x14ac:dyDescent="0.3">
      <c r="A240" s="3">
        <v>44901</v>
      </c>
      <c r="B240" s="6">
        <v>145.30000000000001</v>
      </c>
      <c r="C240" s="6">
        <v>175.18</v>
      </c>
      <c r="D240" s="6">
        <v>210.88</v>
      </c>
      <c r="E240" s="6">
        <f>E239</f>
        <v>236.32</v>
      </c>
      <c r="F240" s="6">
        <v>165.72</v>
      </c>
    </row>
    <row r="241" spans="1:6" x14ac:dyDescent="0.3">
      <c r="A241" s="2">
        <v>44902</v>
      </c>
      <c r="B241" s="6">
        <v>145.30000000000001</v>
      </c>
      <c r="C241" s="6">
        <v>175.18</v>
      </c>
      <c r="D241" s="6">
        <v>210.88</v>
      </c>
      <c r="E241" s="6">
        <f>E240</f>
        <v>236.32</v>
      </c>
      <c r="F241" s="6">
        <v>165.72</v>
      </c>
    </row>
    <row r="242" spans="1:6" x14ac:dyDescent="0.3">
      <c r="A242" s="3">
        <v>44903</v>
      </c>
      <c r="B242" s="6">
        <v>145.30000000000001</v>
      </c>
      <c r="C242" s="6">
        <v>175.18</v>
      </c>
      <c r="D242" s="6">
        <v>210.88</v>
      </c>
      <c r="E242" s="6">
        <f>E241</f>
        <v>236.32</v>
      </c>
      <c r="F242" s="6">
        <v>165.72</v>
      </c>
    </row>
    <row r="243" spans="1:6" x14ac:dyDescent="0.3">
      <c r="A243" s="2">
        <v>44904</v>
      </c>
      <c r="B243" s="6">
        <v>138.18</v>
      </c>
      <c r="C243" s="6">
        <v>172.46</v>
      </c>
      <c r="D243" s="6">
        <v>211.75</v>
      </c>
      <c r="E243" s="6">
        <f>_xlfn.XLOOKUP(A243,'[1]Price History'!$A$3:$A$946,'[1]Price History'!$K$3:$K$946)</f>
        <v>235.9</v>
      </c>
      <c r="F243" s="6">
        <v>164.13</v>
      </c>
    </row>
    <row r="244" spans="1:6" x14ac:dyDescent="0.3">
      <c r="A244" s="3">
        <v>44907</v>
      </c>
      <c r="B244" s="6">
        <v>138.18</v>
      </c>
      <c r="C244" s="6">
        <v>172.46</v>
      </c>
      <c r="D244" s="6">
        <v>211.75</v>
      </c>
      <c r="E244" s="6">
        <f>E243</f>
        <v>235.9</v>
      </c>
      <c r="F244" s="6">
        <v>164.13</v>
      </c>
    </row>
    <row r="245" spans="1:6" x14ac:dyDescent="0.3">
      <c r="A245" s="2">
        <v>44908</v>
      </c>
      <c r="B245" s="6">
        <v>138.18</v>
      </c>
      <c r="C245" s="6">
        <v>172.46</v>
      </c>
      <c r="D245" s="6">
        <v>211.75</v>
      </c>
      <c r="E245" s="6">
        <f>E244</f>
        <v>235.9</v>
      </c>
      <c r="F245" s="6">
        <v>164.13</v>
      </c>
    </row>
    <row r="246" spans="1:6" x14ac:dyDescent="0.3">
      <c r="A246" s="3">
        <v>44909</v>
      </c>
      <c r="B246" s="6">
        <v>138.18</v>
      </c>
      <c r="C246" s="6">
        <v>172.46</v>
      </c>
      <c r="D246" s="6">
        <v>211.75</v>
      </c>
      <c r="E246" s="6">
        <f>E245</f>
        <v>235.9</v>
      </c>
      <c r="F246" s="6">
        <v>164.13</v>
      </c>
    </row>
    <row r="247" spans="1:6" x14ac:dyDescent="0.3">
      <c r="A247" s="2">
        <v>44910</v>
      </c>
      <c r="B247" s="6">
        <v>138.18</v>
      </c>
      <c r="C247" s="6">
        <v>172.46</v>
      </c>
      <c r="D247" s="6">
        <v>211.75</v>
      </c>
      <c r="E247" s="6">
        <f>E246</f>
        <v>235.9</v>
      </c>
      <c r="F247" s="6">
        <v>164.13</v>
      </c>
    </row>
    <row r="248" spans="1:6" x14ac:dyDescent="0.3">
      <c r="A248" s="3">
        <v>44911</v>
      </c>
      <c r="B248" s="6">
        <v>119.43</v>
      </c>
      <c r="C248" s="6">
        <v>147.96</v>
      </c>
      <c r="D248" s="6">
        <v>186.2</v>
      </c>
      <c r="E248" s="6">
        <f>_xlfn.XLOOKUP(A248,'[1]Price History'!$A$3:$A$946,'[1]Price History'!$K$3:$K$946)</f>
        <v>206.01</v>
      </c>
      <c r="F248" s="6">
        <v>160.66</v>
      </c>
    </row>
    <row r="249" spans="1:6" x14ac:dyDescent="0.3">
      <c r="A249" s="2">
        <v>44914</v>
      </c>
      <c r="B249" s="6">
        <v>119.43</v>
      </c>
      <c r="C249" s="6">
        <v>147.96</v>
      </c>
      <c r="D249" s="6">
        <v>186.2</v>
      </c>
      <c r="E249" s="6">
        <f>E248</f>
        <v>206.01</v>
      </c>
      <c r="F249" s="6">
        <v>160.66</v>
      </c>
    </row>
    <row r="250" spans="1:6" x14ac:dyDescent="0.3">
      <c r="A250" s="3">
        <v>44915</v>
      </c>
      <c r="B250" s="6">
        <v>119.43</v>
      </c>
      <c r="C250" s="6">
        <v>147.96</v>
      </c>
      <c r="D250" s="6">
        <v>186.2</v>
      </c>
      <c r="E250" s="6">
        <f>E249</f>
        <v>206.01</v>
      </c>
      <c r="F250" s="6">
        <v>160.66</v>
      </c>
    </row>
    <row r="251" spans="1:6" x14ac:dyDescent="0.3">
      <c r="A251" s="2">
        <v>44916</v>
      </c>
      <c r="B251" s="6">
        <v>119.43</v>
      </c>
      <c r="C251" s="6">
        <v>147.96</v>
      </c>
      <c r="D251" s="6">
        <v>186.2</v>
      </c>
      <c r="E251" s="6">
        <f>E250</f>
        <v>206.01</v>
      </c>
      <c r="F251" s="6">
        <v>160.66</v>
      </c>
    </row>
    <row r="252" spans="1:6" x14ac:dyDescent="0.3">
      <c r="A252" s="3">
        <v>44917</v>
      </c>
      <c r="B252" s="6">
        <v>119.43</v>
      </c>
      <c r="C252" s="6">
        <v>147.96</v>
      </c>
      <c r="D252" s="6">
        <v>186.2</v>
      </c>
      <c r="E252" s="6">
        <f>E251</f>
        <v>206.01</v>
      </c>
      <c r="F252" s="6">
        <v>160.66</v>
      </c>
    </row>
    <row r="253" spans="1:6" x14ac:dyDescent="0.3">
      <c r="A253" s="2">
        <v>44918</v>
      </c>
      <c r="B253" s="6">
        <v>116.49</v>
      </c>
      <c r="C253" s="6">
        <v>140.33000000000001</v>
      </c>
      <c r="D253" s="6">
        <v>173.37</v>
      </c>
      <c r="E253" s="6">
        <f>_xlfn.XLOOKUP(A253,'[1]Price History'!$A$3:$A$946,'[1]Price History'!$K$3:$K$946)</f>
        <v>177.92</v>
      </c>
      <c r="F253" s="6">
        <v>162.07</v>
      </c>
    </row>
    <row r="254" spans="1:6" x14ac:dyDescent="0.3">
      <c r="A254" s="3">
        <v>44922</v>
      </c>
      <c r="B254" s="6"/>
      <c r="C254" s="6"/>
      <c r="D254" s="6"/>
      <c r="E254" s="6">
        <f>E253</f>
        <v>177.92</v>
      </c>
      <c r="F254" s="6"/>
    </row>
    <row r="255" spans="1:6" x14ac:dyDescent="0.3">
      <c r="A255" s="2">
        <v>44923</v>
      </c>
      <c r="B255" s="6">
        <v>116.49</v>
      </c>
      <c r="C255" s="6">
        <v>140.33000000000001</v>
      </c>
      <c r="D255" s="6">
        <v>173.37</v>
      </c>
      <c r="E255" s="6">
        <f>E254</f>
        <v>177.92</v>
      </c>
      <c r="F255" s="6">
        <v>162.07</v>
      </c>
    </row>
    <row r="256" spans="1:6" x14ac:dyDescent="0.3">
      <c r="A256" s="3">
        <v>44924</v>
      </c>
      <c r="B256" s="6">
        <v>116.49</v>
      </c>
      <c r="C256" s="6">
        <v>140.33000000000001</v>
      </c>
      <c r="D256" s="6">
        <v>173.37</v>
      </c>
      <c r="E256" s="6">
        <f>E255</f>
        <v>177.92</v>
      </c>
      <c r="F256" s="6">
        <v>162.07</v>
      </c>
    </row>
    <row r="257" spans="1:6" x14ac:dyDescent="0.3">
      <c r="A257" s="2">
        <v>44925</v>
      </c>
      <c r="B257" s="6">
        <v>98.55</v>
      </c>
      <c r="C257" s="6">
        <v>126.43</v>
      </c>
      <c r="D257" s="6">
        <v>160.44</v>
      </c>
      <c r="E257" s="6">
        <f>_xlfn.XLOOKUP(A257,'[1]Price History'!$A$3:$A$946,'[1]Price History'!$K$3:$K$946)</f>
        <v>186.25</v>
      </c>
      <c r="F257" s="6">
        <v>156.63</v>
      </c>
    </row>
  </sheetData>
  <pageMargins left="0.7" right="0.7" top="0.75" bottom="0.75" header="0.3" footer="0.3"/>
  <customProperties>
    <customPr name="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2332-BF01-40E6-8DB4-D5F6C170F2AB}">
  <dimension ref="A1:F254"/>
  <sheetViews>
    <sheetView topLeftCell="A20" workbookViewId="0">
      <selection activeCell="E254" sqref="E254"/>
    </sheetView>
  </sheetViews>
  <sheetFormatPr defaultRowHeight="14.4" x14ac:dyDescent="0.3"/>
  <cols>
    <col min="1" max="1" width="11.5546875" bestFit="1" customWidth="1"/>
    <col min="2" max="5" width="16.88671875" bestFit="1" customWidth="1"/>
    <col min="6" max="6" width="17.88671875" bestFit="1" customWidth="1"/>
  </cols>
  <sheetData>
    <row r="1" spans="1:6" s="5" customFormat="1" ht="72" x14ac:dyDescent="0.3">
      <c r="A1" s="1"/>
      <c r="B1" s="4" t="s">
        <v>0</v>
      </c>
      <c r="C1" s="4" t="s">
        <v>1</v>
      </c>
      <c r="D1" s="4" t="s">
        <v>2</v>
      </c>
      <c r="E1" s="4" t="s">
        <v>6</v>
      </c>
      <c r="F1" s="4" t="s">
        <v>3</v>
      </c>
    </row>
    <row r="2" spans="1:6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3">
      <c r="A3" s="3">
        <v>44929</v>
      </c>
      <c r="B3" s="6">
        <v>98.55</v>
      </c>
      <c r="C3" s="6">
        <v>126.43</v>
      </c>
      <c r="D3" s="6">
        <v>160.44</v>
      </c>
      <c r="E3" s="6">
        <f>'2022'!E257</f>
        <v>186.25</v>
      </c>
      <c r="F3" s="6">
        <v>156.63</v>
      </c>
    </row>
    <row r="4" spans="1:6" x14ac:dyDescent="0.3">
      <c r="A4" s="2">
        <v>44930</v>
      </c>
      <c r="B4" s="6">
        <v>98.55</v>
      </c>
      <c r="C4" s="6">
        <v>126.43</v>
      </c>
      <c r="D4" s="6">
        <v>160.44</v>
      </c>
      <c r="E4" s="6">
        <f>E3</f>
        <v>186.25</v>
      </c>
      <c r="F4" s="6">
        <v>156.63</v>
      </c>
    </row>
    <row r="5" spans="1:6" x14ac:dyDescent="0.3">
      <c r="A5" s="3">
        <v>44931</v>
      </c>
      <c r="B5" s="6">
        <v>98.55</v>
      </c>
      <c r="C5" s="6">
        <v>126.43</v>
      </c>
      <c r="D5" s="6">
        <v>160.44</v>
      </c>
      <c r="E5" s="6">
        <f>E4</f>
        <v>186.25</v>
      </c>
      <c r="F5" s="6">
        <v>156.63</v>
      </c>
    </row>
    <row r="6" spans="1:6" x14ac:dyDescent="0.3">
      <c r="A6" s="2">
        <v>44932</v>
      </c>
      <c r="B6" s="6">
        <v>112.23</v>
      </c>
      <c r="C6" s="6">
        <v>126.64</v>
      </c>
      <c r="D6" s="6">
        <v>159.49</v>
      </c>
      <c r="E6" s="6">
        <f>_xlfn.XLOOKUP(A6,'[1]Price History'!$A$3:$A$946,'[1]Price History'!$K$3:$K$946)</f>
        <v>179.05</v>
      </c>
      <c r="F6" s="6">
        <v>150.04</v>
      </c>
    </row>
    <row r="7" spans="1:6" x14ac:dyDescent="0.3">
      <c r="A7" s="3">
        <v>44935</v>
      </c>
      <c r="B7" s="6">
        <v>112.23</v>
      </c>
      <c r="C7" s="6">
        <v>126.64</v>
      </c>
      <c r="D7" s="6">
        <v>159.49</v>
      </c>
      <c r="E7" s="6">
        <f>E6</f>
        <v>179.05</v>
      </c>
      <c r="F7" s="6">
        <v>150.04</v>
      </c>
    </row>
    <row r="8" spans="1:6" x14ac:dyDescent="0.3">
      <c r="A8" s="2">
        <v>44936</v>
      </c>
      <c r="B8" s="6">
        <v>112.23</v>
      </c>
      <c r="C8" s="6">
        <v>126.64</v>
      </c>
      <c r="D8" s="6">
        <v>159.49</v>
      </c>
      <c r="E8" s="6">
        <f>E7</f>
        <v>179.05</v>
      </c>
      <c r="F8" s="6">
        <v>150.04</v>
      </c>
    </row>
    <row r="9" spans="1:6" x14ac:dyDescent="0.3">
      <c r="A9" s="3">
        <v>44937</v>
      </c>
      <c r="B9" s="6">
        <v>112.23</v>
      </c>
      <c r="C9" s="6">
        <v>126.64</v>
      </c>
      <c r="D9" s="6">
        <v>159.49</v>
      </c>
      <c r="E9" s="6">
        <f>E8</f>
        <v>179.05</v>
      </c>
      <c r="F9" s="6">
        <v>150.04</v>
      </c>
    </row>
    <row r="10" spans="1:6" x14ac:dyDescent="0.3">
      <c r="A10" s="2">
        <v>44938</v>
      </c>
      <c r="B10" s="6">
        <v>112.23</v>
      </c>
      <c r="C10" s="6">
        <v>126.64</v>
      </c>
      <c r="D10" s="6">
        <v>159.49</v>
      </c>
      <c r="E10" s="6">
        <f>E9</f>
        <v>179.05</v>
      </c>
      <c r="F10" s="6">
        <v>150.04</v>
      </c>
    </row>
    <row r="11" spans="1:6" x14ac:dyDescent="0.3">
      <c r="A11" s="3">
        <v>44939</v>
      </c>
      <c r="B11" s="6">
        <v>97.04</v>
      </c>
      <c r="C11" s="6">
        <v>119.51</v>
      </c>
      <c r="D11" s="6">
        <v>147.63</v>
      </c>
      <c r="E11" s="6">
        <f>_xlfn.XLOOKUP(A11,'[1]Price History'!$A$3:$A$946,'[1]Price History'!$K$3:$K$946)</f>
        <v>163.95</v>
      </c>
      <c r="F11" s="6">
        <v>146.19999999999999</v>
      </c>
    </row>
    <row r="12" spans="1:6" x14ac:dyDescent="0.3">
      <c r="A12" s="2">
        <v>44942</v>
      </c>
      <c r="B12" s="6">
        <v>97.04</v>
      </c>
      <c r="C12" s="6">
        <v>119.51</v>
      </c>
      <c r="D12" s="6">
        <v>147.63</v>
      </c>
      <c r="E12" s="6">
        <f>E11</f>
        <v>163.95</v>
      </c>
      <c r="F12" s="6">
        <v>146.19999999999999</v>
      </c>
    </row>
    <row r="13" spans="1:6" x14ac:dyDescent="0.3">
      <c r="A13" s="3">
        <v>44943</v>
      </c>
      <c r="B13" s="6">
        <v>97.04</v>
      </c>
      <c r="C13" s="6">
        <v>119.51</v>
      </c>
      <c r="D13" s="6">
        <v>147.63</v>
      </c>
      <c r="E13" s="6">
        <f>E12</f>
        <v>163.95</v>
      </c>
      <c r="F13" s="6">
        <v>146.19999999999999</v>
      </c>
    </row>
    <row r="14" spans="1:6" x14ac:dyDescent="0.3">
      <c r="A14" s="2">
        <v>44944</v>
      </c>
      <c r="B14" s="6">
        <v>97.04</v>
      </c>
      <c r="C14" s="6">
        <v>119.51</v>
      </c>
      <c r="D14" s="6">
        <v>147.63</v>
      </c>
      <c r="E14" s="6">
        <f>E13</f>
        <v>163.95</v>
      </c>
      <c r="F14" s="6">
        <v>146.19999999999999</v>
      </c>
    </row>
    <row r="15" spans="1:6" x14ac:dyDescent="0.3">
      <c r="A15" s="3">
        <v>44945</v>
      </c>
      <c r="B15" s="6">
        <v>97.04</v>
      </c>
      <c r="C15" s="6">
        <v>119.51</v>
      </c>
      <c r="D15" s="6">
        <v>147.63</v>
      </c>
      <c r="E15" s="6">
        <f>E14</f>
        <v>163.95</v>
      </c>
      <c r="F15" s="6">
        <v>146.19999999999999</v>
      </c>
    </row>
    <row r="16" spans="1:6" x14ac:dyDescent="0.3">
      <c r="A16" s="2">
        <v>44946</v>
      </c>
      <c r="B16" s="6">
        <v>106.55</v>
      </c>
      <c r="C16" s="6">
        <v>124.98</v>
      </c>
      <c r="D16" s="6">
        <v>150.35</v>
      </c>
      <c r="E16" s="6">
        <f>_xlfn.XLOOKUP(A16,'[1]Price History'!$A$3:$A$946,'[1]Price History'!$K$3:$K$946)</f>
        <v>166.49</v>
      </c>
      <c r="F16" s="6">
        <v>146.97999999999999</v>
      </c>
    </row>
    <row r="17" spans="1:6" x14ac:dyDescent="0.3">
      <c r="A17" s="3">
        <v>44949</v>
      </c>
      <c r="B17" s="6">
        <v>106.55</v>
      </c>
      <c r="C17" s="6">
        <v>124.98</v>
      </c>
      <c r="D17" s="6">
        <v>150.35</v>
      </c>
      <c r="E17" s="6">
        <f>E16</f>
        <v>166.49</v>
      </c>
      <c r="F17" s="6">
        <v>146.97999999999999</v>
      </c>
    </row>
    <row r="18" spans="1:6" x14ac:dyDescent="0.3">
      <c r="A18" s="2">
        <v>44950</v>
      </c>
      <c r="B18" s="6">
        <v>106.55</v>
      </c>
      <c r="C18" s="6">
        <v>124.98</v>
      </c>
      <c r="D18" s="6">
        <v>150.35</v>
      </c>
      <c r="E18" s="6">
        <f>E17</f>
        <v>166.49</v>
      </c>
      <c r="F18" s="6">
        <v>146.97999999999999</v>
      </c>
    </row>
    <row r="19" spans="1:6" x14ac:dyDescent="0.3">
      <c r="A19" s="3">
        <v>44951</v>
      </c>
      <c r="B19" s="6">
        <v>106.55</v>
      </c>
      <c r="C19" s="6">
        <v>124.98</v>
      </c>
      <c r="D19" s="6">
        <v>150.35</v>
      </c>
      <c r="E19" s="6">
        <f>E18</f>
        <v>166.49</v>
      </c>
      <c r="F19" s="6">
        <v>146.97999999999999</v>
      </c>
    </row>
    <row r="20" spans="1:6" x14ac:dyDescent="0.3">
      <c r="A20" s="2">
        <v>44952</v>
      </c>
      <c r="B20" s="6">
        <v>106.55</v>
      </c>
      <c r="C20" s="6">
        <v>124.98</v>
      </c>
      <c r="D20" s="6">
        <v>150.35</v>
      </c>
      <c r="E20" s="6">
        <f>E19</f>
        <v>166.49</v>
      </c>
      <c r="F20" s="6">
        <v>146.97999999999999</v>
      </c>
    </row>
    <row r="21" spans="1:6" x14ac:dyDescent="0.3">
      <c r="A21" s="3">
        <v>44953</v>
      </c>
      <c r="B21" s="6">
        <v>100.63</v>
      </c>
      <c r="C21" s="6">
        <v>121.2</v>
      </c>
      <c r="D21" s="6">
        <v>139.81</v>
      </c>
      <c r="E21" s="6">
        <f>_xlfn.XLOOKUP(A21,'[1]Price History'!$A$3:$A$946,'[1]Price History'!$K$3:$K$946)</f>
        <v>150.36000000000001</v>
      </c>
      <c r="F21" s="6">
        <v>141.97</v>
      </c>
    </row>
    <row r="22" spans="1:6" x14ac:dyDescent="0.3">
      <c r="A22" s="2">
        <v>44956</v>
      </c>
      <c r="B22" s="6">
        <v>100.63</v>
      </c>
      <c r="C22" s="6">
        <v>121.2</v>
      </c>
      <c r="D22" s="6">
        <v>139.81</v>
      </c>
      <c r="E22" s="6">
        <f>E21</f>
        <v>150.36000000000001</v>
      </c>
      <c r="F22" s="6">
        <v>141.97</v>
      </c>
    </row>
    <row r="23" spans="1:6" x14ac:dyDescent="0.3">
      <c r="A23" s="3">
        <v>44957</v>
      </c>
      <c r="B23" s="6">
        <v>100.63</v>
      </c>
      <c r="C23" s="6">
        <v>121.2</v>
      </c>
      <c r="D23" s="6">
        <v>139.81</v>
      </c>
      <c r="E23" s="6">
        <f>E22</f>
        <v>150.36000000000001</v>
      </c>
      <c r="F23" s="6">
        <v>141.97</v>
      </c>
    </row>
    <row r="24" spans="1:6" x14ac:dyDescent="0.3">
      <c r="A24" s="2">
        <v>44958</v>
      </c>
      <c r="B24" s="6">
        <v>100.63</v>
      </c>
      <c r="C24" s="6">
        <v>121.2</v>
      </c>
      <c r="D24" s="6">
        <v>139.81</v>
      </c>
      <c r="E24" s="6">
        <f>E23</f>
        <v>150.36000000000001</v>
      </c>
      <c r="F24" s="6">
        <v>141.97</v>
      </c>
    </row>
    <row r="25" spans="1:6" x14ac:dyDescent="0.3">
      <c r="A25" s="3">
        <v>44959</v>
      </c>
      <c r="B25" s="6">
        <v>100.63</v>
      </c>
      <c r="C25" s="6">
        <v>121.2</v>
      </c>
      <c r="D25" s="6">
        <v>139.81</v>
      </c>
      <c r="E25" s="6">
        <f>E24</f>
        <v>150.36000000000001</v>
      </c>
      <c r="F25" s="6">
        <v>141.97</v>
      </c>
    </row>
    <row r="26" spans="1:6" x14ac:dyDescent="0.3">
      <c r="A26" s="2">
        <v>44960</v>
      </c>
      <c r="B26" s="6">
        <v>98.3</v>
      </c>
      <c r="C26" s="6">
        <v>116.85</v>
      </c>
      <c r="D26" s="6">
        <v>133.1</v>
      </c>
      <c r="E26" s="6">
        <f>_xlfn.XLOOKUP(A26,'[1]Price History'!$A$3:$A$946,'[1]Price History'!$K$3:$K$946)</f>
        <v>145.78</v>
      </c>
      <c r="F26" s="6">
        <v>136.65</v>
      </c>
    </row>
    <row r="27" spans="1:6" x14ac:dyDescent="0.3">
      <c r="A27" s="3">
        <v>44963</v>
      </c>
      <c r="B27" s="6">
        <v>98.3</v>
      </c>
      <c r="C27" s="6">
        <v>116.85</v>
      </c>
      <c r="D27" s="6">
        <v>133.1</v>
      </c>
      <c r="E27" s="6">
        <f>E26</f>
        <v>145.78</v>
      </c>
      <c r="F27" s="6">
        <v>136.65</v>
      </c>
    </row>
    <row r="28" spans="1:6" x14ac:dyDescent="0.3">
      <c r="A28" s="2">
        <v>44964</v>
      </c>
      <c r="B28" s="6">
        <v>98.3</v>
      </c>
      <c r="C28" s="6">
        <v>116.85</v>
      </c>
      <c r="D28" s="6">
        <v>133.1</v>
      </c>
      <c r="E28" s="6">
        <f>E27</f>
        <v>145.78</v>
      </c>
      <c r="F28" s="6">
        <v>136.65</v>
      </c>
    </row>
    <row r="29" spans="1:6" x14ac:dyDescent="0.3">
      <c r="A29" s="3">
        <v>44965</v>
      </c>
      <c r="B29" s="6">
        <v>98.3</v>
      </c>
      <c r="C29" s="6">
        <v>116.85</v>
      </c>
      <c r="D29" s="6">
        <v>133.1</v>
      </c>
      <c r="E29" s="6">
        <f>E28</f>
        <v>145.78</v>
      </c>
      <c r="F29" s="6">
        <v>136.65</v>
      </c>
    </row>
    <row r="30" spans="1:6" x14ac:dyDescent="0.3">
      <c r="A30" s="2">
        <v>44966</v>
      </c>
      <c r="B30" s="6">
        <v>98.3</v>
      </c>
      <c r="C30" s="6">
        <v>116.85</v>
      </c>
      <c r="D30" s="6">
        <v>133.1</v>
      </c>
      <c r="E30" s="6">
        <f>E29</f>
        <v>145.78</v>
      </c>
      <c r="F30" s="6">
        <v>136.65</v>
      </c>
    </row>
    <row r="31" spans="1:6" x14ac:dyDescent="0.3">
      <c r="A31" s="3">
        <v>44967</v>
      </c>
      <c r="B31" s="6">
        <v>97.55</v>
      </c>
      <c r="C31" s="6">
        <v>116.91</v>
      </c>
      <c r="D31" s="6">
        <v>132.66999999999999</v>
      </c>
      <c r="E31" s="6">
        <f>_xlfn.XLOOKUP(A31,'[1]Price History'!$A$3:$A$946,'[1]Price History'!$K$3:$K$946)</f>
        <v>144.44999999999999</v>
      </c>
      <c r="F31" s="6">
        <v>134.30000000000001</v>
      </c>
    </row>
    <row r="32" spans="1:6" x14ac:dyDescent="0.3">
      <c r="A32" s="2">
        <v>44970</v>
      </c>
      <c r="B32" s="6">
        <v>97.55</v>
      </c>
      <c r="C32" s="6">
        <v>116.91</v>
      </c>
      <c r="D32" s="6">
        <v>132.66999999999999</v>
      </c>
      <c r="E32" s="6">
        <f>E31</f>
        <v>144.44999999999999</v>
      </c>
      <c r="F32" s="6">
        <v>134.30000000000001</v>
      </c>
    </row>
    <row r="33" spans="1:6" x14ac:dyDescent="0.3">
      <c r="A33" s="3">
        <v>44971</v>
      </c>
      <c r="B33" s="6">
        <v>97.55</v>
      </c>
      <c r="C33" s="6">
        <v>116.91</v>
      </c>
      <c r="D33" s="6">
        <v>132.66999999999999</v>
      </c>
      <c r="E33" s="6">
        <f>E32</f>
        <v>144.44999999999999</v>
      </c>
      <c r="F33" s="6">
        <v>134.30000000000001</v>
      </c>
    </row>
    <row r="34" spans="1:6" x14ac:dyDescent="0.3">
      <c r="A34" s="2">
        <v>44972</v>
      </c>
      <c r="B34" s="6">
        <v>97.55</v>
      </c>
      <c r="C34" s="6">
        <v>116.91</v>
      </c>
      <c r="D34" s="6">
        <v>132.66999999999999</v>
      </c>
      <c r="E34" s="6">
        <f>E33</f>
        <v>144.44999999999999</v>
      </c>
      <c r="F34" s="6">
        <v>134.30000000000001</v>
      </c>
    </row>
    <row r="35" spans="1:6" x14ac:dyDescent="0.3">
      <c r="A35" s="3">
        <v>44973</v>
      </c>
      <c r="B35" s="6">
        <v>97.55</v>
      </c>
      <c r="C35" s="6">
        <v>116.91</v>
      </c>
      <c r="D35" s="6">
        <v>132.66999999999999</v>
      </c>
      <c r="E35" s="6">
        <f>E34</f>
        <v>144.44999999999999</v>
      </c>
      <c r="F35" s="6">
        <v>134.30000000000001</v>
      </c>
    </row>
    <row r="36" spans="1:6" x14ac:dyDescent="0.3">
      <c r="A36" s="2">
        <v>44974</v>
      </c>
      <c r="B36" s="6">
        <v>95.97</v>
      </c>
      <c r="C36" s="6">
        <v>114.69</v>
      </c>
      <c r="D36" s="6">
        <v>130.44</v>
      </c>
      <c r="E36" s="6">
        <f>_xlfn.XLOOKUP(A36,'[1]Price History'!$A$3:$A$946,'[1]Price History'!$K$3:$K$946)</f>
        <v>136.87</v>
      </c>
      <c r="F36" s="6">
        <v>128.91</v>
      </c>
    </row>
    <row r="37" spans="1:6" x14ac:dyDescent="0.3">
      <c r="A37" s="3">
        <v>44977</v>
      </c>
      <c r="B37" s="6">
        <v>95.97</v>
      </c>
      <c r="C37" s="6">
        <v>114.69</v>
      </c>
      <c r="D37" s="6">
        <v>130.44</v>
      </c>
      <c r="E37" s="6">
        <f>E36</f>
        <v>136.87</v>
      </c>
      <c r="F37" s="6">
        <v>128.91</v>
      </c>
    </row>
    <row r="38" spans="1:6" x14ac:dyDescent="0.3">
      <c r="A38" s="2">
        <v>44978</v>
      </c>
      <c r="B38" s="6">
        <v>95.97</v>
      </c>
      <c r="C38" s="6">
        <v>114.69</v>
      </c>
      <c r="D38" s="6">
        <v>130.44</v>
      </c>
      <c r="E38" s="6">
        <f>E37</f>
        <v>136.87</v>
      </c>
      <c r="F38" s="6">
        <v>128.91</v>
      </c>
    </row>
    <row r="39" spans="1:6" x14ac:dyDescent="0.3">
      <c r="A39" s="3">
        <v>44979</v>
      </c>
      <c r="B39" s="6">
        <v>95.97</v>
      </c>
      <c r="C39" s="6">
        <v>114.69</v>
      </c>
      <c r="D39" s="6">
        <v>130.44</v>
      </c>
      <c r="E39" s="6">
        <f>E38</f>
        <v>136.87</v>
      </c>
      <c r="F39" s="6">
        <v>128.91</v>
      </c>
    </row>
    <row r="40" spans="1:6" x14ac:dyDescent="0.3">
      <c r="A40" s="2">
        <v>44980</v>
      </c>
      <c r="B40" s="6">
        <v>95.97</v>
      </c>
      <c r="C40" s="6">
        <v>114.69</v>
      </c>
      <c r="D40" s="6">
        <v>130.44</v>
      </c>
      <c r="E40" s="6">
        <f>E39</f>
        <v>136.87</v>
      </c>
      <c r="F40" s="6">
        <v>128.91</v>
      </c>
    </row>
    <row r="41" spans="1:6" x14ac:dyDescent="0.3">
      <c r="A41" s="3">
        <v>44981</v>
      </c>
      <c r="B41" s="6">
        <v>93.81</v>
      </c>
      <c r="C41" s="6">
        <v>112.82</v>
      </c>
      <c r="D41" s="6">
        <v>129.44999999999999</v>
      </c>
      <c r="E41" s="6">
        <f>_xlfn.XLOOKUP(A41,'[1]Price History'!$A$3:$A$946,'[1]Price History'!$K$3:$K$946)</f>
        <v>136.57</v>
      </c>
      <c r="F41" s="6">
        <v>127.6</v>
      </c>
    </row>
    <row r="42" spans="1:6" x14ac:dyDescent="0.3">
      <c r="A42" s="2">
        <v>44984</v>
      </c>
      <c r="B42" s="6">
        <v>93.81</v>
      </c>
      <c r="C42" s="6">
        <v>112.82</v>
      </c>
      <c r="D42" s="6">
        <v>129.44999999999999</v>
      </c>
      <c r="E42" s="6">
        <f>E41</f>
        <v>136.57</v>
      </c>
      <c r="F42" s="6">
        <v>127.6</v>
      </c>
    </row>
    <row r="43" spans="1:6" x14ac:dyDescent="0.3">
      <c r="A43" s="3">
        <v>44985</v>
      </c>
      <c r="B43" s="6">
        <v>93.81</v>
      </c>
      <c r="C43" s="6">
        <v>112.82</v>
      </c>
      <c r="D43" s="6">
        <v>129.44999999999999</v>
      </c>
      <c r="E43" s="6">
        <f>E42</f>
        <v>136.57</v>
      </c>
      <c r="F43" s="6">
        <v>127.6</v>
      </c>
    </row>
    <row r="44" spans="1:6" x14ac:dyDescent="0.3">
      <c r="A44" s="2">
        <v>44986</v>
      </c>
      <c r="B44" s="6">
        <v>93.81</v>
      </c>
      <c r="C44" s="6">
        <v>112.82</v>
      </c>
      <c r="D44" s="6">
        <v>129.44999999999999</v>
      </c>
      <c r="E44" s="6">
        <f>E43</f>
        <v>136.57</v>
      </c>
      <c r="F44" s="6">
        <v>127.6</v>
      </c>
    </row>
    <row r="45" spans="1:6" x14ac:dyDescent="0.3">
      <c r="A45" s="3">
        <v>44987</v>
      </c>
      <c r="B45" s="6">
        <v>93.81</v>
      </c>
      <c r="C45" s="6">
        <v>112.82</v>
      </c>
      <c r="D45" s="6">
        <v>129.44999999999999</v>
      </c>
      <c r="E45" s="6">
        <f>E44</f>
        <v>136.57</v>
      </c>
      <c r="F45" s="6">
        <v>127.6</v>
      </c>
    </row>
    <row r="46" spans="1:6" x14ac:dyDescent="0.3">
      <c r="A46" s="2">
        <v>44988</v>
      </c>
      <c r="B46" s="6">
        <v>96.39</v>
      </c>
      <c r="C46" s="6">
        <v>114.61</v>
      </c>
      <c r="D46" s="6">
        <v>130.18</v>
      </c>
      <c r="E46" s="6">
        <f>_xlfn.XLOOKUP(A46,'[1]Price History'!$A$3:$A$946,'[1]Price History'!$K$3:$K$946)</f>
        <v>140.9</v>
      </c>
      <c r="F46" s="6">
        <v>132</v>
      </c>
    </row>
    <row r="47" spans="1:6" x14ac:dyDescent="0.3">
      <c r="A47" s="3">
        <v>44991</v>
      </c>
      <c r="B47" s="6">
        <v>96.39</v>
      </c>
      <c r="C47" s="6">
        <v>114.61</v>
      </c>
      <c r="D47" s="6">
        <v>130.18</v>
      </c>
      <c r="E47" s="6">
        <f>E46</f>
        <v>140.9</v>
      </c>
      <c r="F47" s="6">
        <v>132</v>
      </c>
    </row>
    <row r="48" spans="1:6" x14ac:dyDescent="0.3">
      <c r="A48" s="2">
        <v>44992</v>
      </c>
      <c r="B48" s="6">
        <v>96.39</v>
      </c>
      <c r="C48" s="6">
        <v>114.61</v>
      </c>
      <c r="D48" s="6">
        <v>130.18</v>
      </c>
      <c r="E48" s="6">
        <f>E47</f>
        <v>140.9</v>
      </c>
      <c r="F48" s="6">
        <v>132</v>
      </c>
    </row>
    <row r="49" spans="1:6" x14ac:dyDescent="0.3">
      <c r="A49" s="3">
        <v>44993</v>
      </c>
      <c r="B49" s="6">
        <v>96.39</v>
      </c>
      <c r="C49" s="6">
        <v>114.61</v>
      </c>
      <c r="D49" s="6">
        <v>130.18</v>
      </c>
      <c r="E49" s="6">
        <f>E48</f>
        <v>140.9</v>
      </c>
      <c r="F49" s="6">
        <v>132</v>
      </c>
    </row>
    <row r="50" spans="1:6" x14ac:dyDescent="0.3">
      <c r="A50" s="2">
        <v>44994</v>
      </c>
      <c r="B50" s="6">
        <v>96.39</v>
      </c>
      <c r="C50" s="6">
        <v>114.61</v>
      </c>
      <c r="D50" s="6">
        <v>130.18</v>
      </c>
      <c r="E50" s="6">
        <f>E49</f>
        <v>140.9</v>
      </c>
      <c r="F50" s="6">
        <v>132</v>
      </c>
    </row>
    <row r="51" spans="1:6" x14ac:dyDescent="0.3">
      <c r="A51" s="3">
        <v>44995</v>
      </c>
      <c r="B51" s="6">
        <v>92.09</v>
      </c>
      <c r="C51" s="6">
        <v>107.99</v>
      </c>
      <c r="D51" s="6">
        <v>122.49</v>
      </c>
      <c r="E51" s="6">
        <f>_xlfn.XLOOKUP(A51,'[1]Price History'!$A$3:$A$946,'[1]Price History'!$K$3:$K$946)</f>
        <v>127.13</v>
      </c>
      <c r="F51" s="6">
        <v>129.88</v>
      </c>
    </row>
    <row r="52" spans="1:6" x14ac:dyDescent="0.3">
      <c r="A52" s="2">
        <v>44998</v>
      </c>
      <c r="B52" s="6">
        <v>92.09</v>
      </c>
      <c r="C52" s="6">
        <v>107.99</v>
      </c>
      <c r="D52" s="6">
        <v>122.49</v>
      </c>
      <c r="E52" s="6">
        <f>E51</f>
        <v>127.13</v>
      </c>
      <c r="F52" s="6">
        <v>129.88</v>
      </c>
    </row>
    <row r="53" spans="1:6" x14ac:dyDescent="0.3">
      <c r="A53" s="3">
        <v>44999</v>
      </c>
      <c r="B53" s="6">
        <v>92.09</v>
      </c>
      <c r="C53" s="6">
        <v>107.99</v>
      </c>
      <c r="D53" s="6">
        <v>122.49</v>
      </c>
      <c r="E53" s="6">
        <f>E52</f>
        <v>127.13</v>
      </c>
      <c r="F53" s="6">
        <v>129.88</v>
      </c>
    </row>
    <row r="54" spans="1:6" x14ac:dyDescent="0.3">
      <c r="A54" s="2">
        <v>45000</v>
      </c>
      <c r="B54" s="6">
        <v>92.09</v>
      </c>
      <c r="C54" s="6">
        <v>107.99</v>
      </c>
      <c r="D54" s="6">
        <v>122.49</v>
      </c>
      <c r="E54" s="6">
        <f>E53</f>
        <v>127.13</v>
      </c>
      <c r="F54" s="6">
        <v>129.88</v>
      </c>
    </row>
    <row r="55" spans="1:6" x14ac:dyDescent="0.3">
      <c r="A55" s="3">
        <v>45001</v>
      </c>
      <c r="B55" s="6">
        <v>92.09</v>
      </c>
      <c r="C55" s="6">
        <v>107.99</v>
      </c>
      <c r="D55" s="6">
        <v>122.49</v>
      </c>
      <c r="E55" s="6">
        <f>E54</f>
        <v>127.13</v>
      </c>
      <c r="F55" s="6">
        <v>129.88</v>
      </c>
    </row>
    <row r="56" spans="1:6" x14ac:dyDescent="0.3">
      <c r="A56" s="2">
        <v>45002</v>
      </c>
      <c r="B56" s="6">
        <v>93.8</v>
      </c>
      <c r="C56" s="6">
        <v>112.06</v>
      </c>
      <c r="D56" s="6">
        <v>128.5</v>
      </c>
      <c r="E56" s="6">
        <f>_xlfn.XLOOKUP(A56,'[1]Price History'!$A$3:$A$946,'[1]Price History'!$K$3:$K$946)</f>
        <v>134.18</v>
      </c>
      <c r="F56" s="6">
        <v>130.96</v>
      </c>
    </row>
    <row r="57" spans="1:6" x14ac:dyDescent="0.3">
      <c r="A57" s="3">
        <v>45005</v>
      </c>
      <c r="B57" s="6">
        <v>93.8</v>
      </c>
      <c r="C57" s="6">
        <v>112.06</v>
      </c>
      <c r="D57" s="6">
        <v>128.5</v>
      </c>
      <c r="E57" s="6">
        <f>E56</f>
        <v>134.18</v>
      </c>
      <c r="F57" s="6">
        <v>130.96</v>
      </c>
    </row>
    <row r="58" spans="1:6" x14ac:dyDescent="0.3">
      <c r="A58" s="2">
        <v>45006</v>
      </c>
      <c r="B58" s="6">
        <v>93.8</v>
      </c>
      <c r="C58" s="6">
        <v>112.06</v>
      </c>
      <c r="D58" s="6">
        <v>128.5</v>
      </c>
      <c r="E58" s="6">
        <f>E57</f>
        <v>134.18</v>
      </c>
      <c r="F58" s="6">
        <v>130.96</v>
      </c>
    </row>
    <row r="59" spans="1:6" x14ac:dyDescent="0.3">
      <c r="A59" s="3">
        <v>45007</v>
      </c>
      <c r="B59" s="6">
        <v>93.8</v>
      </c>
      <c r="C59" s="6">
        <v>112.06</v>
      </c>
      <c r="D59" s="6">
        <v>128.5</v>
      </c>
      <c r="E59" s="6">
        <f>E58</f>
        <v>134.18</v>
      </c>
      <c r="F59" s="6">
        <v>130.96</v>
      </c>
    </row>
    <row r="60" spans="1:6" x14ac:dyDescent="0.3">
      <c r="A60" s="2">
        <v>45008</v>
      </c>
      <c r="B60" s="6">
        <v>93.8</v>
      </c>
      <c r="C60" s="6">
        <v>112.06</v>
      </c>
      <c r="D60" s="6">
        <v>128.5</v>
      </c>
      <c r="E60" s="6">
        <f>E59</f>
        <v>134.18</v>
      </c>
      <c r="F60" s="6">
        <v>130.96</v>
      </c>
    </row>
    <row r="61" spans="1:6" x14ac:dyDescent="0.3">
      <c r="A61" s="3">
        <v>45009</v>
      </c>
      <c r="B61" s="6">
        <v>92</v>
      </c>
      <c r="C61" s="6">
        <v>108.94</v>
      </c>
      <c r="D61" s="6">
        <v>123.68</v>
      </c>
      <c r="E61" s="6">
        <f>_xlfn.XLOOKUP(A61,'[1]Price History'!$A$3:$A$946,'[1]Price History'!$K$3:$K$946)</f>
        <v>130.07</v>
      </c>
      <c r="F61" s="6">
        <v>130.44</v>
      </c>
    </row>
    <row r="62" spans="1:6" x14ac:dyDescent="0.3">
      <c r="A62" s="2">
        <v>45012</v>
      </c>
      <c r="B62" s="6">
        <v>92</v>
      </c>
      <c r="C62" s="6">
        <v>108.94</v>
      </c>
      <c r="D62" s="6">
        <v>123.68</v>
      </c>
      <c r="E62" s="6">
        <f>E61</f>
        <v>130.07</v>
      </c>
      <c r="F62" s="6">
        <v>130.44</v>
      </c>
    </row>
    <row r="63" spans="1:6" x14ac:dyDescent="0.3">
      <c r="A63" s="3">
        <v>45013</v>
      </c>
      <c r="B63" s="6">
        <v>92</v>
      </c>
      <c r="C63" s="6">
        <v>108.94</v>
      </c>
      <c r="D63" s="6">
        <v>123.68</v>
      </c>
      <c r="E63" s="6">
        <f>E62</f>
        <v>130.07</v>
      </c>
      <c r="F63" s="6">
        <v>130.44</v>
      </c>
    </row>
    <row r="64" spans="1:6" x14ac:dyDescent="0.3">
      <c r="A64" s="2">
        <v>45014</v>
      </c>
      <c r="B64" s="6">
        <v>92</v>
      </c>
      <c r="C64" s="6">
        <v>108.94</v>
      </c>
      <c r="D64" s="6">
        <v>123.68</v>
      </c>
      <c r="E64" s="6">
        <f>E63</f>
        <v>130.07</v>
      </c>
      <c r="F64" s="6">
        <v>130.44</v>
      </c>
    </row>
    <row r="65" spans="1:6" x14ac:dyDescent="0.3">
      <c r="A65" s="3">
        <v>45015</v>
      </c>
      <c r="B65" s="6">
        <v>92</v>
      </c>
      <c r="C65" s="6">
        <v>108.94</v>
      </c>
      <c r="D65" s="6">
        <v>123.68</v>
      </c>
      <c r="E65" s="6">
        <f>E64</f>
        <v>130.07</v>
      </c>
      <c r="F65" s="6">
        <v>130.44</v>
      </c>
    </row>
    <row r="66" spans="1:6" x14ac:dyDescent="0.3">
      <c r="A66" s="2">
        <v>45016</v>
      </c>
      <c r="B66" s="6">
        <v>94.51</v>
      </c>
      <c r="C66" s="6">
        <v>111.41</v>
      </c>
      <c r="D66" s="6">
        <v>128.84</v>
      </c>
      <c r="E66" s="6">
        <f>_xlfn.XLOOKUP(A66,'[1]Price History'!$A$3:$A$946,'[1]Price History'!$K$3:$K$946)</f>
        <v>135.08000000000001</v>
      </c>
      <c r="F66" s="6">
        <v>128.99</v>
      </c>
    </row>
    <row r="67" spans="1:6" x14ac:dyDescent="0.3">
      <c r="A67" s="3">
        <v>45019</v>
      </c>
      <c r="B67" s="6">
        <v>94.51</v>
      </c>
      <c r="C67" s="6">
        <v>111.41</v>
      </c>
      <c r="D67" s="6">
        <v>128.84</v>
      </c>
      <c r="E67" s="6">
        <f>E66</f>
        <v>135.08000000000001</v>
      </c>
      <c r="F67" s="6">
        <v>128.99</v>
      </c>
    </row>
    <row r="68" spans="1:6" x14ac:dyDescent="0.3">
      <c r="A68" s="2">
        <v>45020</v>
      </c>
      <c r="B68" s="6">
        <v>94.51</v>
      </c>
      <c r="C68" s="6">
        <v>111.41</v>
      </c>
      <c r="D68" s="6">
        <v>128.84</v>
      </c>
      <c r="E68" s="6">
        <f>E67</f>
        <v>135.08000000000001</v>
      </c>
      <c r="F68" s="6">
        <v>128.99</v>
      </c>
    </row>
    <row r="69" spans="1:6" x14ac:dyDescent="0.3">
      <c r="A69" s="3">
        <v>45021</v>
      </c>
      <c r="B69" s="6">
        <v>94.51</v>
      </c>
      <c r="C69" s="6">
        <v>111.41</v>
      </c>
      <c r="D69" s="6">
        <v>128.84</v>
      </c>
      <c r="E69" s="6">
        <f>E68</f>
        <v>135.08000000000001</v>
      </c>
      <c r="F69" s="6">
        <v>128.99</v>
      </c>
    </row>
    <row r="70" spans="1:6" x14ac:dyDescent="0.3">
      <c r="A70" s="2">
        <v>45022</v>
      </c>
      <c r="B70" s="6">
        <v>95.97</v>
      </c>
      <c r="C70" s="6">
        <v>113.65</v>
      </c>
      <c r="D70" s="6">
        <v>129.24</v>
      </c>
      <c r="E70" s="6">
        <f>_xlfn.XLOOKUP(A70,'[1]Price History'!$A$3:$A$946,'[1]Price History'!$K$3:$K$946)</f>
        <v>133.76</v>
      </c>
      <c r="F70" s="6">
        <v>127.96</v>
      </c>
    </row>
    <row r="71" spans="1:6" x14ac:dyDescent="0.3">
      <c r="A71" s="3">
        <v>45027</v>
      </c>
      <c r="B71" s="6">
        <v>95.97</v>
      </c>
      <c r="C71" s="6">
        <v>113.65</v>
      </c>
      <c r="D71" s="6">
        <v>129.24</v>
      </c>
      <c r="E71" s="6">
        <f>E70</f>
        <v>133.76</v>
      </c>
      <c r="F71" s="6">
        <v>127.96</v>
      </c>
    </row>
    <row r="72" spans="1:6" x14ac:dyDescent="0.3">
      <c r="A72" s="2">
        <v>45028</v>
      </c>
      <c r="B72" s="6">
        <v>95.97</v>
      </c>
      <c r="C72" s="6">
        <v>113.65</v>
      </c>
      <c r="D72" s="6">
        <v>129.24</v>
      </c>
      <c r="E72" s="6">
        <f>E71</f>
        <v>133.76</v>
      </c>
      <c r="F72" s="6">
        <v>127.96</v>
      </c>
    </row>
    <row r="73" spans="1:6" x14ac:dyDescent="0.3">
      <c r="A73" s="3">
        <v>45029</v>
      </c>
      <c r="B73" s="6">
        <v>95.97</v>
      </c>
      <c r="C73" s="6">
        <v>113.65</v>
      </c>
      <c r="D73" s="6">
        <v>129.24</v>
      </c>
      <c r="E73" s="6">
        <f>E72</f>
        <v>133.76</v>
      </c>
      <c r="F73" s="6">
        <v>127.96</v>
      </c>
    </row>
    <row r="74" spans="1:6" x14ac:dyDescent="0.3">
      <c r="A74" s="2">
        <v>45030</v>
      </c>
      <c r="B74" s="6">
        <v>89.92</v>
      </c>
      <c r="C74" s="6">
        <v>105.11</v>
      </c>
      <c r="D74" s="6">
        <v>119.93</v>
      </c>
      <c r="E74" s="6">
        <f>_xlfn.XLOOKUP(A74,'[1]Price History'!$A$3:$A$946,'[1]Price History'!$K$3:$K$946)</f>
        <v>122.4</v>
      </c>
      <c r="F74" s="6">
        <v>126.04</v>
      </c>
    </row>
    <row r="75" spans="1:6" x14ac:dyDescent="0.3">
      <c r="A75" s="3">
        <v>45033</v>
      </c>
      <c r="B75" s="6">
        <v>89.92</v>
      </c>
      <c r="C75" s="6">
        <v>105.11</v>
      </c>
      <c r="D75" s="6">
        <v>119.93</v>
      </c>
      <c r="E75" s="6">
        <f>E74</f>
        <v>122.4</v>
      </c>
      <c r="F75" s="6">
        <v>126.04</v>
      </c>
    </row>
    <row r="76" spans="1:6" x14ac:dyDescent="0.3">
      <c r="A76" s="2">
        <v>45034</v>
      </c>
      <c r="B76" s="6">
        <v>89.92</v>
      </c>
      <c r="C76" s="6">
        <v>105.11</v>
      </c>
      <c r="D76" s="6">
        <v>119.93</v>
      </c>
      <c r="E76" s="6">
        <f>E75</f>
        <v>122.4</v>
      </c>
      <c r="F76" s="6">
        <v>126.04</v>
      </c>
    </row>
    <row r="77" spans="1:6" x14ac:dyDescent="0.3">
      <c r="A77" s="3">
        <v>45035</v>
      </c>
      <c r="B77" s="6">
        <v>89.92</v>
      </c>
      <c r="C77" s="6">
        <v>105.11</v>
      </c>
      <c r="D77" s="6">
        <v>119.93</v>
      </c>
      <c r="E77" s="6">
        <f>E76</f>
        <v>122.4</v>
      </c>
      <c r="F77" s="6">
        <v>126.04</v>
      </c>
    </row>
    <row r="78" spans="1:6" x14ac:dyDescent="0.3">
      <c r="A78" s="2">
        <v>45036</v>
      </c>
      <c r="B78" s="6">
        <v>89.92</v>
      </c>
      <c r="C78" s="6">
        <v>105.11</v>
      </c>
      <c r="D78" s="6">
        <v>119.93</v>
      </c>
      <c r="E78" s="6">
        <f>E77</f>
        <v>122.4</v>
      </c>
      <c r="F78" s="6">
        <v>126.04</v>
      </c>
    </row>
    <row r="79" spans="1:6" x14ac:dyDescent="0.3">
      <c r="A79" s="3">
        <v>45037</v>
      </c>
      <c r="B79" s="6">
        <v>90.45</v>
      </c>
      <c r="C79" s="6">
        <v>107.23</v>
      </c>
      <c r="D79" s="6">
        <v>120.27</v>
      </c>
      <c r="E79" s="6">
        <f>_xlfn.XLOOKUP(A79,'[1]Price History'!$A$3:$A$946,'[1]Price History'!$K$3:$K$946)</f>
        <v>126.95</v>
      </c>
      <c r="F79" s="6">
        <v>125.23</v>
      </c>
    </row>
    <row r="80" spans="1:6" x14ac:dyDescent="0.3">
      <c r="A80" s="2">
        <v>45040</v>
      </c>
      <c r="B80" s="6">
        <v>90.45</v>
      </c>
      <c r="C80" s="6">
        <v>107.23</v>
      </c>
      <c r="D80" s="6">
        <v>120.27</v>
      </c>
      <c r="E80" s="6">
        <f>E79</f>
        <v>126.95</v>
      </c>
      <c r="F80" s="6">
        <v>125.23</v>
      </c>
    </row>
    <row r="81" spans="1:6" x14ac:dyDescent="0.3">
      <c r="A81" s="3">
        <v>45041</v>
      </c>
      <c r="B81" s="6">
        <v>90.45</v>
      </c>
      <c r="C81" s="6">
        <v>107.23</v>
      </c>
      <c r="D81" s="6">
        <v>120.27</v>
      </c>
      <c r="E81" s="6">
        <f>E80</f>
        <v>126.95</v>
      </c>
      <c r="F81" s="6">
        <v>125.23</v>
      </c>
    </row>
    <row r="82" spans="1:6" x14ac:dyDescent="0.3">
      <c r="A82" s="2">
        <v>45042</v>
      </c>
      <c r="B82" s="6">
        <v>90.45</v>
      </c>
      <c r="C82" s="6">
        <v>107.23</v>
      </c>
      <c r="D82" s="6">
        <v>120.27</v>
      </c>
      <c r="E82" s="6">
        <f>E81</f>
        <v>126.95</v>
      </c>
      <c r="F82" s="6">
        <v>125.23</v>
      </c>
    </row>
    <row r="83" spans="1:6" x14ac:dyDescent="0.3">
      <c r="A83" s="3">
        <v>45043</v>
      </c>
      <c r="B83" s="6">
        <v>90.45</v>
      </c>
      <c r="C83" s="6">
        <v>107.23</v>
      </c>
      <c r="D83" s="6">
        <v>120.27</v>
      </c>
      <c r="E83" s="6">
        <f>E82</f>
        <v>126.95</v>
      </c>
      <c r="F83" s="6">
        <v>125.23</v>
      </c>
    </row>
    <row r="84" spans="1:6" x14ac:dyDescent="0.3">
      <c r="A84" s="2">
        <v>45044</v>
      </c>
      <c r="B84" s="6">
        <v>91.28</v>
      </c>
      <c r="C84" s="6">
        <v>108.09</v>
      </c>
      <c r="D84" s="6">
        <v>122.2</v>
      </c>
      <c r="E84" s="6">
        <f>_xlfn.XLOOKUP(A84,'[1]Price History'!$A$3:$A$946,'[1]Price History'!$K$3:$K$946)</f>
        <v>127.42</v>
      </c>
      <c r="F84" s="6">
        <v>125.82</v>
      </c>
    </row>
    <row r="85" spans="1:6" x14ac:dyDescent="0.3">
      <c r="A85" s="3">
        <v>45048</v>
      </c>
      <c r="B85" s="6">
        <v>91.28</v>
      </c>
      <c r="C85" s="6">
        <v>108.09</v>
      </c>
      <c r="D85" s="6">
        <v>122.2</v>
      </c>
      <c r="E85" s="6">
        <f>E84</f>
        <v>127.42</v>
      </c>
      <c r="F85" s="6">
        <v>125.82</v>
      </c>
    </row>
    <row r="86" spans="1:6" x14ac:dyDescent="0.3">
      <c r="A86" s="2">
        <v>45049</v>
      </c>
      <c r="B86" s="6">
        <v>91.28</v>
      </c>
      <c r="C86" s="6">
        <v>108.09</v>
      </c>
      <c r="D86" s="6">
        <v>122.2</v>
      </c>
      <c r="E86" s="6">
        <f>E85</f>
        <v>127.42</v>
      </c>
      <c r="F86" s="6">
        <v>125.82</v>
      </c>
    </row>
    <row r="87" spans="1:6" x14ac:dyDescent="0.3">
      <c r="A87" s="3">
        <v>45050</v>
      </c>
      <c r="B87" s="6">
        <v>91.28</v>
      </c>
      <c r="C87" s="6">
        <v>108.09</v>
      </c>
      <c r="D87" s="6">
        <v>122.2</v>
      </c>
      <c r="E87" s="6">
        <f>E86</f>
        <v>127.42</v>
      </c>
      <c r="F87" s="6">
        <v>125.82</v>
      </c>
    </row>
    <row r="88" spans="1:6" x14ac:dyDescent="0.3">
      <c r="A88" s="2">
        <v>45051</v>
      </c>
      <c r="B88" s="6">
        <v>87.26</v>
      </c>
      <c r="C88" s="6">
        <v>103.26</v>
      </c>
      <c r="D88" s="6">
        <v>116.71</v>
      </c>
      <c r="E88" s="6">
        <f>_xlfn.XLOOKUP(A88,'[1]Price History'!$A$3:$A$946,'[1]Price History'!$K$3:$K$946)</f>
        <v>122.63</v>
      </c>
      <c r="F88" s="6">
        <v>123.74</v>
      </c>
    </row>
    <row r="89" spans="1:6" x14ac:dyDescent="0.3">
      <c r="A89" s="3">
        <v>45055</v>
      </c>
      <c r="B89" s="6">
        <v>87.26</v>
      </c>
      <c r="C89" s="6">
        <v>103.26</v>
      </c>
      <c r="D89" s="6">
        <v>116.71</v>
      </c>
      <c r="E89" s="6">
        <f>E88</f>
        <v>122.63</v>
      </c>
      <c r="F89" s="6">
        <v>123.74</v>
      </c>
    </row>
    <row r="90" spans="1:6" x14ac:dyDescent="0.3">
      <c r="A90" s="2">
        <v>45056</v>
      </c>
      <c r="B90" s="6">
        <v>87.26</v>
      </c>
      <c r="C90" s="6">
        <v>103.26</v>
      </c>
      <c r="D90" s="6">
        <v>116.71</v>
      </c>
      <c r="E90" s="6">
        <f>E89</f>
        <v>122.63</v>
      </c>
      <c r="F90" s="6">
        <v>123.74</v>
      </c>
    </row>
    <row r="91" spans="1:6" x14ac:dyDescent="0.3">
      <c r="A91" s="3">
        <v>45057</v>
      </c>
      <c r="B91" s="6">
        <v>87.26</v>
      </c>
      <c r="C91" s="6">
        <v>103.26</v>
      </c>
      <c r="D91" s="6">
        <v>116.71</v>
      </c>
      <c r="E91" s="6">
        <f>E90</f>
        <v>122.63</v>
      </c>
      <c r="F91" s="6">
        <v>123.74</v>
      </c>
    </row>
    <row r="92" spans="1:6" x14ac:dyDescent="0.3">
      <c r="A92" s="2">
        <v>45058</v>
      </c>
      <c r="B92" s="6">
        <v>78.209999999999994</v>
      </c>
      <c r="C92" s="6">
        <v>97.07</v>
      </c>
      <c r="D92" s="6">
        <v>104.98</v>
      </c>
      <c r="E92" s="6">
        <f>_xlfn.XLOOKUP(A92,'[1]Price History'!$A$3:$A$946,'[1]Price History'!$K$3:$K$946)</f>
        <v>112.03</v>
      </c>
      <c r="F92" s="6">
        <v>116.59</v>
      </c>
    </row>
    <row r="93" spans="1:6" x14ac:dyDescent="0.3">
      <c r="A93" s="3">
        <v>45061</v>
      </c>
      <c r="B93" s="6">
        <v>78.209999999999994</v>
      </c>
      <c r="C93" s="6">
        <v>97.07</v>
      </c>
      <c r="D93" s="6">
        <v>104.98</v>
      </c>
      <c r="E93" s="6">
        <f>E92</f>
        <v>112.03</v>
      </c>
      <c r="F93" s="6">
        <v>116.59</v>
      </c>
    </row>
    <row r="94" spans="1:6" x14ac:dyDescent="0.3">
      <c r="A94" s="2">
        <v>45062</v>
      </c>
      <c r="B94" s="6">
        <v>78.209999999999994</v>
      </c>
      <c r="C94" s="6">
        <v>97.07</v>
      </c>
      <c r="D94" s="6">
        <v>104.98</v>
      </c>
      <c r="E94" s="6">
        <f>E93</f>
        <v>112.03</v>
      </c>
      <c r="F94" s="6">
        <v>116.59</v>
      </c>
    </row>
    <row r="95" spans="1:6" x14ac:dyDescent="0.3">
      <c r="A95" s="3">
        <v>45063</v>
      </c>
      <c r="B95" s="6">
        <v>78.209999999999994</v>
      </c>
      <c r="C95" s="6">
        <v>97.07</v>
      </c>
      <c r="D95" s="6">
        <v>104.98</v>
      </c>
      <c r="E95" s="6">
        <f>E94</f>
        <v>112.03</v>
      </c>
      <c r="F95" s="6">
        <v>116.59</v>
      </c>
    </row>
    <row r="96" spans="1:6" x14ac:dyDescent="0.3">
      <c r="A96" s="2">
        <v>45064</v>
      </c>
      <c r="B96" s="6">
        <v>78.209999999999994</v>
      </c>
      <c r="C96" s="6">
        <v>97.07</v>
      </c>
      <c r="D96" s="6">
        <v>104.98</v>
      </c>
      <c r="E96" s="6">
        <f>E95</f>
        <v>112.03</v>
      </c>
      <c r="F96" s="6">
        <v>116.59</v>
      </c>
    </row>
    <row r="97" spans="1:6" x14ac:dyDescent="0.3">
      <c r="A97" s="3">
        <v>45065</v>
      </c>
      <c r="B97" s="6">
        <v>71.959999999999994</v>
      </c>
      <c r="C97" s="6">
        <v>87.11</v>
      </c>
      <c r="D97" s="6">
        <v>97.31</v>
      </c>
      <c r="E97" s="6">
        <f>_xlfn.XLOOKUP(A97,'[1]Price History'!$A$3:$A$946,'[1]Price History'!$K$3:$K$946)</f>
        <v>103.98</v>
      </c>
      <c r="F97" s="6">
        <v>108.14</v>
      </c>
    </row>
    <row r="98" spans="1:6" x14ac:dyDescent="0.3">
      <c r="A98" s="2">
        <v>45068</v>
      </c>
      <c r="B98" s="6">
        <v>71.959999999999994</v>
      </c>
      <c r="C98" s="6">
        <v>87.11</v>
      </c>
      <c r="D98" s="6">
        <v>97.31</v>
      </c>
      <c r="E98" s="6">
        <f>E97</f>
        <v>103.98</v>
      </c>
      <c r="F98" s="6">
        <v>108.14</v>
      </c>
    </row>
    <row r="99" spans="1:6" x14ac:dyDescent="0.3">
      <c r="A99" s="3">
        <v>45069</v>
      </c>
      <c r="B99" s="6">
        <v>71.959999999999994</v>
      </c>
      <c r="C99" s="6">
        <v>87.11</v>
      </c>
      <c r="D99" s="6">
        <v>97.31</v>
      </c>
      <c r="E99" s="6">
        <f>E98</f>
        <v>103.98</v>
      </c>
      <c r="F99" s="6">
        <v>108.14</v>
      </c>
    </row>
    <row r="100" spans="1:6" x14ac:dyDescent="0.3">
      <c r="A100" s="2">
        <v>45070</v>
      </c>
      <c r="B100" s="6">
        <v>71.959999999999994</v>
      </c>
      <c r="C100" s="6">
        <v>87.11</v>
      </c>
      <c r="D100" s="6">
        <v>97.31</v>
      </c>
      <c r="E100" s="6">
        <f>E99</f>
        <v>103.98</v>
      </c>
      <c r="F100" s="6">
        <v>108.14</v>
      </c>
    </row>
    <row r="101" spans="1:6" x14ac:dyDescent="0.3">
      <c r="A101" s="3">
        <v>45071</v>
      </c>
      <c r="B101" s="6">
        <v>71.959999999999994</v>
      </c>
      <c r="C101" s="6">
        <v>87.11</v>
      </c>
      <c r="D101" s="6">
        <v>97.31</v>
      </c>
      <c r="E101" s="6">
        <f>E100</f>
        <v>103.98</v>
      </c>
      <c r="F101" s="6">
        <v>108.14</v>
      </c>
    </row>
    <row r="102" spans="1:6" x14ac:dyDescent="0.3">
      <c r="A102" s="2">
        <v>45072</v>
      </c>
      <c r="B102" s="6">
        <v>71.12</v>
      </c>
      <c r="C102" s="6">
        <v>86.39</v>
      </c>
      <c r="D102" s="6">
        <v>98.43</v>
      </c>
      <c r="E102" s="6">
        <f>_xlfn.XLOOKUP(A102,'[1]Price History'!$A$3:$A$946,'[1]Price History'!$K$3:$K$946)</f>
        <v>104.24</v>
      </c>
      <c r="F102" s="6">
        <v>104.4</v>
      </c>
    </row>
    <row r="103" spans="1:6" x14ac:dyDescent="0.3">
      <c r="A103" s="3">
        <v>45076</v>
      </c>
      <c r="B103" s="6">
        <v>71.12</v>
      </c>
      <c r="C103" s="6">
        <v>86.39</v>
      </c>
      <c r="D103" s="6">
        <v>98.43</v>
      </c>
      <c r="E103" s="6">
        <f>E102</f>
        <v>104.24</v>
      </c>
      <c r="F103" s="6">
        <v>104.4</v>
      </c>
    </row>
    <row r="104" spans="1:6" x14ac:dyDescent="0.3">
      <c r="A104" s="2">
        <v>45077</v>
      </c>
      <c r="B104" s="6">
        <v>71.12</v>
      </c>
      <c r="C104" s="6">
        <v>86.39</v>
      </c>
      <c r="D104" s="6">
        <v>98.43</v>
      </c>
      <c r="E104" s="6">
        <f>E103</f>
        <v>104.24</v>
      </c>
      <c r="F104" s="6">
        <v>104.4</v>
      </c>
    </row>
    <row r="105" spans="1:6" x14ac:dyDescent="0.3">
      <c r="A105" s="3">
        <v>45078</v>
      </c>
      <c r="B105" s="6">
        <v>71.12</v>
      </c>
      <c r="C105" s="6">
        <v>86.39</v>
      </c>
      <c r="D105" s="6">
        <v>98.43</v>
      </c>
      <c r="E105" s="6">
        <f>E104</f>
        <v>104.24</v>
      </c>
      <c r="F105" s="6">
        <v>104.4</v>
      </c>
    </row>
    <row r="106" spans="1:6" x14ac:dyDescent="0.3">
      <c r="A106" s="2">
        <v>45079</v>
      </c>
      <c r="B106" s="6">
        <v>67.16</v>
      </c>
      <c r="C106" s="6">
        <v>81.5</v>
      </c>
      <c r="D106" s="6">
        <v>92.15</v>
      </c>
      <c r="E106" s="6">
        <f>_xlfn.XLOOKUP(A106,'[1]Price History'!$A$3:$A$946,'[1]Price History'!$K$3:$K$946)</f>
        <v>96.72</v>
      </c>
      <c r="F106" s="6">
        <v>101.01</v>
      </c>
    </row>
    <row r="107" spans="1:6" x14ac:dyDescent="0.3">
      <c r="A107" s="3">
        <v>45082</v>
      </c>
      <c r="B107" s="6">
        <v>67.16</v>
      </c>
      <c r="C107" s="6">
        <v>81.5</v>
      </c>
      <c r="D107" s="6">
        <v>92.15</v>
      </c>
      <c r="E107" s="6">
        <f>E106</f>
        <v>96.72</v>
      </c>
      <c r="F107" s="6">
        <v>101.01</v>
      </c>
    </row>
    <row r="108" spans="1:6" x14ac:dyDescent="0.3">
      <c r="A108" s="2">
        <v>45083</v>
      </c>
      <c r="B108" s="6">
        <v>67.16</v>
      </c>
      <c r="C108" s="6">
        <v>81.5</v>
      </c>
      <c r="D108" s="6">
        <v>92.15</v>
      </c>
      <c r="E108" s="6">
        <f>E107</f>
        <v>96.72</v>
      </c>
      <c r="F108" s="6">
        <v>101.01</v>
      </c>
    </row>
    <row r="109" spans="1:6" x14ac:dyDescent="0.3">
      <c r="A109" s="3">
        <v>45084</v>
      </c>
      <c r="B109" s="6">
        <v>67.16</v>
      </c>
      <c r="C109" s="6">
        <v>81.5</v>
      </c>
      <c r="D109" s="6">
        <v>92.15</v>
      </c>
      <c r="E109" s="6">
        <f>E108</f>
        <v>96.72</v>
      </c>
      <c r="F109" s="6">
        <v>101.01</v>
      </c>
    </row>
    <row r="110" spans="1:6" x14ac:dyDescent="0.3">
      <c r="A110" s="2">
        <v>45085</v>
      </c>
      <c r="B110" s="6">
        <v>67.16</v>
      </c>
      <c r="C110" s="6">
        <v>81.5</v>
      </c>
      <c r="D110" s="6">
        <v>92.15</v>
      </c>
      <c r="E110" s="6">
        <f>E109</f>
        <v>96.72</v>
      </c>
      <c r="F110" s="6">
        <v>101.01</v>
      </c>
    </row>
    <row r="111" spans="1:6" x14ac:dyDescent="0.3">
      <c r="A111" s="3">
        <v>45086</v>
      </c>
      <c r="B111" s="6">
        <v>71.06</v>
      </c>
      <c r="C111" s="6">
        <v>85.96</v>
      </c>
      <c r="D111" s="6">
        <v>97.6</v>
      </c>
      <c r="E111" s="6">
        <f>_xlfn.XLOOKUP(A111,'[1]Price History'!$A$3:$A$946,'[1]Price History'!$K$3:$K$946)</f>
        <v>100.6</v>
      </c>
      <c r="F111" s="6">
        <v>99.36</v>
      </c>
    </row>
    <row r="112" spans="1:6" x14ac:dyDescent="0.3">
      <c r="A112" s="2">
        <v>45089</v>
      </c>
      <c r="B112" s="6">
        <v>71.06</v>
      </c>
      <c r="C112" s="6">
        <v>85.96</v>
      </c>
      <c r="D112" s="6">
        <v>97.6</v>
      </c>
      <c r="E112" s="6">
        <f>E111</f>
        <v>100.6</v>
      </c>
      <c r="F112" s="6">
        <v>99.36</v>
      </c>
    </row>
    <row r="113" spans="1:6" x14ac:dyDescent="0.3">
      <c r="A113" s="3">
        <v>45090</v>
      </c>
      <c r="B113" s="6">
        <v>71.06</v>
      </c>
      <c r="C113" s="6">
        <v>85.96</v>
      </c>
      <c r="D113" s="6">
        <v>97.6</v>
      </c>
      <c r="E113" s="6">
        <f>E112</f>
        <v>100.6</v>
      </c>
      <c r="F113" s="6">
        <v>99.36</v>
      </c>
    </row>
    <row r="114" spans="1:6" x14ac:dyDescent="0.3">
      <c r="A114" s="2">
        <v>45091</v>
      </c>
      <c r="B114" s="6">
        <v>71.06</v>
      </c>
      <c r="C114" s="6">
        <v>85.96</v>
      </c>
      <c r="D114" s="6">
        <v>97.6</v>
      </c>
      <c r="E114" s="6">
        <f>E113</f>
        <v>100.6</v>
      </c>
      <c r="F114" s="6">
        <v>99.36</v>
      </c>
    </row>
    <row r="115" spans="1:6" x14ac:dyDescent="0.3">
      <c r="A115" s="3">
        <v>45092</v>
      </c>
      <c r="B115" s="6">
        <v>71.06</v>
      </c>
      <c r="C115" s="6">
        <v>85.96</v>
      </c>
      <c r="D115" s="6">
        <v>97.6</v>
      </c>
      <c r="E115" s="6">
        <f>E114</f>
        <v>100.6</v>
      </c>
      <c r="F115" s="6">
        <v>99.36</v>
      </c>
    </row>
    <row r="116" spans="1:6" x14ac:dyDescent="0.3">
      <c r="A116" s="2">
        <v>45093</v>
      </c>
      <c r="B116" s="6">
        <v>70.86</v>
      </c>
      <c r="C116" s="6">
        <v>86.93</v>
      </c>
      <c r="D116" s="6">
        <v>100.23</v>
      </c>
      <c r="E116" s="6">
        <f>_xlfn.XLOOKUP(A116,'[1]Price History'!$A$3:$A$946,'[1]Price History'!$K$3:$K$946)</f>
        <v>100.86</v>
      </c>
      <c r="F116" s="6">
        <v>95.63</v>
      </c>
    </row>
    <row r="117" spans="1:6" x14ac:dyDescent="0.3">
      <c r="A117" s="3">
        <v>45096</v>
      </c>
      <c r="B117" s="6">
        <v>70.86</v>
      </c>
      <c r="C117" s="6">
        <v>86.93</v>
      </c>
      <c r="D117" s="6">
        <v>100.23</v>
      </c>
      <c r="E117" s="6">
        <f>E116</f>
        <v>100.86</v>
      </c>
      <c r="F117" s="6">
        <v>95.63</v>
      </c>
    </row>
    <row r="118" spans="1:6" x14ac:dyDescent="0.3">
      <c r="A118" s="2">
        <v>45097</v>
      </c>
      <c r="B118" s="6">
        <v>70.86</v>
      </c>
      <c r="C118" s="6">
        <v>86.93</v>
      </c>
      <c r="D118" s="6">
        <v>100.23</v>
      </c>
      <c r="E118" s="6">
        <f>E117</f>
        <v>100.86</v>
      </c>
      <c r="F118" s="6">
        <v>95.63</v>
      </c>
    </row>
    <row r="119" spans="1:6" x14ac:dyDescent="0.3">
      <c r="A119" s="3">
        <v>45098</v>
      </c>
      <c r="B119" s="6">
        <v>70.86</v>
      </c>
      <c r="C119" s="6">
        <v>86.93</v>
      </c>
      <c r="D119" s="6">
        <v>100.23</v>
      </c>
      <c r="E119" s="6">
        <f>E118</f>
        <v>100.86</v>
      </c>
      <c r="F119" s="6">
        <v>95.63</v>
      </c>
    </row>
    <row r="120" spans="1:6" x14ac:dyDescent="0.3">
      <c r="A120" s="2">
        <v>45099</v>
      </c>
      <c r="B120" s="6">
        <v>70.86</v>
      </c>
      <c r="C120" s="6">
        <v>86.93</v>
      </c>
      <c r="D120" s="6">
        <v>100.23</v>
      </c>
      <c r="E120" s="6">
        <f>E119</f>
        <v>100.86</v>
      </c>
      <c r="F120" s="6">
        <v>95.63</v>
      </c>
    </row>
    <row r="121" spans="1:6" x14ac:dyDescent="0.3">
      <c r="A121" s="3">
        <v>45100</v>
      </c>
      <c r="B121" s="6">
        <v>70.13</v>
      </c>
      <c r="C121" s="6">
        <v>84.58</v>
      </c>
      <c r="D121" s="6">
        <v>100.69</v>
      </c>
      <c r="E121" s="6">
        <f>_xlfn.XLOOKUP(A121,'[1]Price History'!$A$3:$A$946,'[1]Price History'!$K$3:$K$946)</f>
        <v>99.48</v>
      </c>
      <c r="F121" s="6">
        <v>97.08</v>
      </c>
    </row>
    <row r="122" spans="1:6" x14ac:dyDescent="0.3">
      <c r="A122" s="2">
        <v>45103</v>
      </c>
      <c r="B122" s="6">
        <v>70.13</v>
      </c>
      <c r="C122" s="6">
        <v>84.58</v>
      </c>
      <c r="D122" s="6">
        <v>100.69</v>
      </c>
      <c r="E122" s="6">
        <f>E121</f>
        <v>99.48</v>
      </c>
      <c r="F122" s="6">
        <v>97.08</v>
      </c>
    </row>
    <row r="123" spans="1:6" x14ac:dyDescent="0.3">
      <c r="A123" s="3">
        <v>45104</v>
      </c>
      <c r="B123" s="6">
        <v>70.13</v>
      </c>
      <c r="C123" s="6">
        <v>84.58</v>
      </c>
      <c r="D123" s="6">
        <v>100.69</v>
      </c>
      <c r="E123" s="6">
        <f>E122</f>
        <v>99.48</v>
      </c>
      <c r="F123" s="6">
        <v>97.08</v>
      </c>
    </row>
    <row r="124" spans="1:6" x14ac:dyDescent="0.3">
      <c r="A124" s="2">
        <v>45105</v>
      </c>
      <c r="B124" s="6">
        <v>70.13</v>
      </c>
      <c r="C124" s="6">
        <v>84.58</v>
      </c>
      <c r="D124" s="6">
        <v>100.69</v>
      </c>
      <c r="E124" s="6">
        <f>E123</f>
        <v>99.48</v>
      </c>
      <c r="F124" s="6">
        <v>97.08</v>
      </c>
    </row>
    <row r="125" spans="1:6" x14ac:dyDescent="0.3">
      <c r="A125" s="3">
        <v>45106</v>
      </c>
      <c r="B125" s="6">
        <v>70.13</v>
      </c>
      <c r="C125" s="6">
        <v>84.58</v>
      </c>
      <c r="D125" s="6">
        <v>100.69</v>
      </c>
      <c r="E125" s="6">
        <f>E124</f>
        <v>99.48</v>
      </c>
      <c r="F125" s="6">
        <v>97.08</v>
      </c>
    </row>
    <row r="126" spans="1:6" x14ac:dyDescent="0.3">
      <c r="A126" s="2">
        <v>45107</v>
      </c>
      <c r="B126" s="6">
        <v>71.28</v>
      </c>
      <c r="C126" s="6">
        <v>87.01</v>
      </c>
      <c r="D126" s="6">
        <v>101.66</v>
      </c>
      <c r="E126" s="6">
        <f>_xlfn.XLOOKUP(A126,'[1]Price History'!$A$3:$A$946,'[1]Price History'!$K$3:$K$946)</f>
        <v>100.88</v>
      </c>
      <c r="F126" s="6">
        <v>97.75</v>
      </c>
    </row>
    <row r="127" spans="1:6" x14ac:dyDescent="0.3">
      <c r="A127" s="3">
        <v>45110</v>
      </c>
      <c r="B127" s="6">
        <v>71.28</v>
      </c>
      <c r="C127" s="6">
        <v>87.01</v>
      </c>
      <c r="D127" s="6">
        <v>101.66</v>
      </c>
      <c r="E127" s="6">
        <f>E126</f>
        <v>100.88</v>
      </c>
      <c r="F127" s="6">
        <v>97.75</v>
      </c>
    </row>
    <row r="128" spans="1:6" x14ac:dyDescent="0.3">
      <c r="A128" s="2">
        <v>45111</v>
      </c>
      <c r="B128" s="6">
        <v>71.28</v>
      </c>
      <c r="C128" s="6">
        <v>87.01</v>
      </c>
      <c r="D128" s="6">
        <v>101.66</v>
      </c>
      <c r="E128" s="6">
        <f>E127</f>
        <v>100.88</v>
      </c>
      <c r="F128" s="6">
        <v>97.75</v>
      </c>
    </row>
    <row r="129" spans="1:6" x14ac:dyDescent="0.3">
      <c r="A129" s="3">
        <v>45112</v>
      </c>
      <c r="B129" s="6">
        <v>71.28</v>
      </c>
      <c r="C129" s="6">
        <v>87.01</v>
      </c>
      <c r="D129" s="6">
        <v>101.66</v>
      </c>
      <c r="E129" s="6">
        <f>E128</f>
        <v>100.88</v>
      </c>
      <c r="F129" s="6">
        <v>97.75</v>
      </c>
    </row>
    <row r="130" spans="1:6" x14ac:dyDescent="0.3">
      <c r="A130" s="2">
        <v>45113</v>
      </c>
      <c r="B130" s="6">
        <v>71.28</v>
      </c>
      <c r="C130" s="6">
        <v>87.01</v>
      </c>
      <c r="D130" s="6">
        <v>101.66</v>
      </c>
      <c r="E130" s="6">
        <f>E129</f>
        <v>100.88</v>
      </c>
      <c r="F130" s="6">
        <v>97.75</v>
      </c>
    </row>
    <row r="131" spans="1:6" x14ac:dyDescent="0.3">
      <c r="A131" s="3">
        <v>45114</v>
      </c>
      <c r="B131" s="6">
        <v>72.95</v>
      </c>
      <c r="C131" s="6">
        <v>89.24</v>
      </c>
      <c r="D131" s="6">
        <v>104.04</v>
      </c>
      <c r="E131" s="6">
        <f>_xlfn.XLOOKUP(A131,'[1]Price History'!$A$3:$A$946,'[1]Price History'!$K$3:$K$946)</f>
        <v>102.9</v>
      </c>
      <c r="F131" s="6">
        <v>98.17</v>
      </c>
    </row>
    <row r="132" spans="1:6" x14ac:dyDescent="0.3">
      <c r="A132" s="2">
        <v>45117</v>
      </c>
      <c r="B132" s="6">
        <v>72.95</v>
      </c>
      <c r="C132" s="6">
        <v>89.24</v>
      </c>
      <c r="D132" s="6">
        <v>104.04</v>
      </c>
      <c r="E132" s="6">
        <f>E131</f>
        <v>102.9</v>
      </c>
      <c r="F132" s="6">
        <v>98.17</v>
      </c>
    </row>
    <row r="133" spans="1:6" x14ac:dyDescent="0.3">
      <c r="A133" s="3">
        <v>45118</v>
      </c>
      <c r="B133" s="6">
        <v>72.95</v>
      </c>
      <c r="C133" s="6">
        <v>89.24</v>
      </c>
      <c r="D133" s="6">
        <v>104.04</v>
      </c>
      <c r="E133" s="6">
        <f>E132</f>
        <v>102.9</v>
      </c>
      <c r="F133" s="6">
        <v>98.17</v>
      </c>
    </row>
    <row r="134" spans="1:6" x14ac:dyDescent="0.3">
      <c r="A134" s="2">
        <v>45119</v>
      </c>
      <c r="B134" s="6">
        <v>72.95</v>
      </c>
      <c r="C134" s="6">
        <v>89.24</v>
      </c>
      <c r="D134" s="6">
        <v>104.04</v>
      </c>
      <c r="E134" s="6">
        <f>E133</f>
        <v>102.9</v>
      </c>
      <c r="F134" s="6">
        <v>98.17</v>
      </c>
    </row>
    <row r="135" spans="1:6" x14ac:dyDescent="0.3">
      <c r="A135" s="3">
        <v>45120</v>
      </c>
      <c r="B135" s="6">
        <v>72.95</v>
      </c>
      <c r="C135" s="6">
        <v>89.24</v>
      </c>
      <c r="D135" s="6">
        <v>104.04</v>
      </c>
      <c r="E135" s="6">
        <f>E134</f>
        <v>102.9</v>
      </c>
      <c r="F135" s="6">
        <v>98.17</v>
      </c>
    </row>
    <row r="136" spans="1:6" x14ac:dyDescent="0.3">
      <c r="A136" s="2">
        <v>45121</v>
      </c>
      <c r="B136" s="6">
        <v>64.62</v>
      </c>
      <c r="C136" s="6">
        <v>79.61</v>
      </c>
      <c r="D136" s="6">
        <v>93.42</v>
      </c>
      <c r="E136" s="6">
        <f>_xlfn.XLOOKUP(A136,'[1]Price History'!$A$3:$A$946,'[1]Price History'!$K$3:$K$946)</f>
        <v>92.82</v>
      </c>
      <c r="F136" s="6">
        <v>94.9</v>
      </c>
    </row>
    <row r="137" spans="1:6" x14ac:dyDescent="0.3">
      <c r="A137" s="3">
        <v>45124</v>
      </c>
      <c r="B137" s="6">
        <v>64.62</v>
      </c>
      <c r="C137" s="6">
        <v>79.61</v>
      </c>
      <c r="D137" s="6">
        <v>93.42</v>
      </c>
      <c r="E137" s="6">
        <f>E136</f>
        <v>92.82</v>
      </c>
      <c r="F137" s="6">
        <v>94.9</v>
      </c>
    </row>
    <row r="138" spans="1:6" x14ac:dyDescent="0.3">
      <c r="A138" s="2">
        <v>45125</v>
      </c>
      <c r="B138" s="6">
        <v>64.62</v>
      </c>
      <c r="C138" s="6">
        <v>79.61</v>
      </c>
      <c r="D138" s="6">
        <v>93.42</v>
      </c>
      <c r="E138" s="6">
        <f>E137</f>
        <v>92.82</v>
      </c>
      <c r="F138" s="6">
        <v>94.9</v>
      </c>
    </row>
    <row r="139" spans="1:6" x14ac:dyDescent="0.3">
      <c r="A139" s="3">
        <v>45126</v>
      </c>
      <c r="B139" s="6">
        <v>64.62</v>
      </c>
      <c r="C139" s="6">
        <v>79.61</v>
      </c>
      <c r="D139" s="6">
        <v>93.42</v>
      </c>
      <c r="E139" s="6">
        <f>E138</f>
        <v>92.82</v>
      </c>
      <c r="F139" s="6">
        <v>94.9</v>
      </c>
    </row>
    <row r="140" spans="1:6" x14ac:dyDescent="0.3">
      <c r="A140" s="2">
        <v>45127</v>
      </c>
      <c r="B140" s="6">
        <v>64.62</v>
      </c>
      <c r="C140" s="6">
        <v>79.61</v>
      </c>
      <c r="D140" s="6">
        <v>93.42</v>
      </c>
      <c r="E140" s="6">
        <f>E139</f>
        <v>92.82</v>
      </c>
      <c r="F140" s="6">
        <v>94.9</v>
      </c>
    </row>
    <row r="141" spans="1:6" x14ac:dyDescent="0.3">
      <c r="A141" s="3">
        <v>45128</v>
      </c>
      <c r="B141" s="6">
        <v>68.77</v>
      </c>
      <c r="C141" s="6">
        <v>83.05</v>
      </c>
      <c r="D141" s="6">
        <v>94.84</v>
      </c>
      <c r="E141" s="6">
        <f>_xlfn.XLOOKUP(A141,'[1]Price History'!$A$3:$A$946,'[1]Price History'!$K$3:$K$946)</f>
        <v>90.6</v>
      </c>
      <c r="F141" s="6">
        <v>97.63</v>
      </c>
    </row>
    <row r="142" spans="1:6" x14ac:dyDescent="0.3">
      <c r="A142" s="2">
        <v>45131</v>
      </c>
      <c r="B142" s="6">
        <v>68.77</v>
      </c>
      <c r="C142" s="6">
        <v>83.05</v>
      </c>
      <c r="D142" s="6">
        <v>94.84</v>
      </c>
      <c r="E142" s="6">
        <f>E141</f>
        <v>90.6</v>
      </c>
      <c r="F142" s="6">
        <v>97.63</v>
      </c>
    </row>
    <row r="143" spans="1:6" x14ac:dyDescent="0.3">
      <c r="A143" s="3">
        <v>45132</v>
      </c>
      <c r="B143" s="6">
        <v>68.77</v>
      </c>
      <c r="C143" s="6">
        <v>83.05</v>
      </c>
      <c r="D143" s="6">
        <v>94.84</v>
      </c>
      <c r="E143" s="6">
        <f>E142</f>
        <v>90.6</v>
      </c>
      <c r="F143" s="6">
        <v>97.63</v>
      </c>
    </row>
    <row r="144" spans="1:6" x14ac:dyDescent="0.3">
      <c r="A144" s="2">
        <v>45133</v>
      </c>
      <c r="B144" s="6">
        <v>68.77</v>
      </c>
      <c r="C144" s="6">
        <v>83.05</v>
      </c>
      <c r="D144" s="6">
        <v>94.84</v>
      </c>
      <c r="E144" s="6">
        <f>E143</f>
        <v>90.6</v>
      </c>
      <c r="F144" s="6">
        <v>97.63</v>
      </c>
    </row>
    <row r="145" spans="1:6" x14ac:dyDescent="0.3">
      <c r="A145" s="3">
        <v>45134</v>
      </c>
      <c r="B145" s="6">
        <v>68.77</v>
      </c>
      <c r="C145" s="6">
        <v>83.05</v>
      </c>
      <c r="D145" s="6">
        <v>94.84</v>
      </c>
      <c r="E145" s="6">
        <f>E144</f>
        <v>90.6</v>
      </c>
      <c r="F145" s="6">
        <v>97.63</v>
      </c>
    </row>
    <row r="146" spans="1:6" x14ac:dyDescent="0.3">
      <c r="A146" s="2">
        <v>45135</v>
      </c>
      <c r="B146" s="6">
        <v>72.430000000000007</v>
      </c>
      <c r="C146" s="6">
        <v>88.62</v>
      </c>
      <c r="D146" s="6">
        <v>101.66</v>
      </c>
      <c r="E146" s="6">
        <f>_xlfn.XLOOKUP(A146,'[1]Price History'!$A$3:$A$946,'[1]Price History'!$K$3:$K$946)</f>
        <v>89.19</v>
      </c>
      <c r="F146" s="6">
        <v>97.25</v>
      </c>
    </row>
    <row r="147" spans="1:6" x14ac:dyDescent="0.3">
      <c r="A147" s="3">
        <v>45138</v>
      </c>
      <c r="B147" s="6">
        <v>72.430000000000007</v>
      </c>
      <c r="C147" s="6">
        <v>88.62</v>
      </c>
      <c r="D147" s="6">
        <v>101.66</v>
      </c>
      <c r="E147" s="6">
        <f>E146</f>
        <v>89.19</v>
      </c>
      <c r="F147" s="6">
        <v>97.25</v>
      </c>
    </row>
    <row r="148" spans="1:6" x14ac:dyDescent="0.3">
      <c r="A148" s="2">
        <v>45139</v>
      </c>
      <c r="B148" s="6">
        <v>72.430000000000007</v>
      </c>
      <c r="C148" s="6">
        <v>88.62</v>
      </c>
      <c r="D148" s="6">
        <v>101.66</v>
      </c>
      <c r="E148" s="6">
        <f>E147</f>
        <v>89.19</v>
      </c>
      <c r="F148" s="6">
        <v>97.25</v>
      </c>
    </row>
    <row r="149" spans="1:6" x14ac:dyDescent="0.3">
      <c r="A149" s="3">
        <v>45140</v>
      </c>
      <c r="B149" s="6">
        <v>72.430000000000007</v>
      </c>
      <c r="C149" s="6">
        <v>88.62</v>
      </c>
      <c r="D149" s="6">
        <v>101.66</v>
      </c>
      <c r="E149" s="6">
        <f>E148</f>
        <v>89.19</v>
      </c>
      <c r="F149" s="6">
        <v>97.25</v>
      </c>
    </row>
    <row r="150" spans="1:6" x14ac:dyDescent="0.3">
      <c r="A150" s="2">
        <v>45141</v>
      </c>
      <c r="B150" s="6">
        <v>72.430000000000007</v>
      </c>
      <c r="C150" s="6">
        <v>88.62</v>
      </c>
      <c r="D150" s="6">
        <v>101.66</v>
      </c>
      <c r="E150" s="6">
        <f>E149</f>
        <v>89.19</v>
      </c>
      <c r="F150" s="6">
        <v>97.25</v>
      </c>
    </row>
    <row r="151" spans="1:6" x14ac:dyDescent="0.3">
      <c r="A151" s="3">
        <v>45142</v>
      </c>
      <c r="B151" s="6">
        <v>72.3</v>
      </c>
      <c r="C151" s="6">
        <v>88.82</v>
      </c>
      <c r="D151" s="6">
        <v>101.37</v>
      </c>
      <c r="E151" s="6">
        <f>_xlfn.XLOOKUP(A151,'[1]Price History'!$A$3:$A$946,'[1]Price History'!$K$3:$K$946)</f>
        <v>105.18</v>
      </c>
      <c r="F151" s="6">
        <v>99.29</v>
      </c>
    </row>
    <row r="152" spans="1:6" x14ac:dyDescent="0.3">
      <c r="A152" s="2">
        <v>45145</v>
      </c>
      <c r="B152" s="6">
        <v>72.3</v>
      </c>
      <c r="C152" s="6">
        <v>88.82</v>
      </c>
      <c r="D152" s="6">
        <v>101.37</v>
      </c>
      <c r="E152" s="6">
        <f>E151</f>
        <v>105.18</v>
      </c>
      <c r="F152" s="6">
        <v>99.29</v>
      </c>
    </row>
    <row r="153" spans="1:6" x14ac:dyDescent="0.3">
      <c r="A153" s="3">
        <v>45146</v>
      </c>
      <c r="B153" s="6">
        <v>72.3</v>
      </c>
      <c r="C153" s="6">
        <v>88.82</v>
      </c>
      <c r="D153" s="6">
        <v>101.37</v>
      </c>
      <c r="E153" s="6">
        <f>E152</f>
        <v>105.18</v>
      </c>
      <c r="F153" s="6">
        <v>99.29</v>
      </c>
    </row>
    <row r="154" spans="1:6" x14ac:dyDescent="0.3">
      <c r="A154" s="2">
        <v>45147</v>
      </c>
      <c r="B154" s="6">
        <v>72.3</v>
      </c>
      <c r="C154" s="6">
        <v>88.82</v>
      </c>
      <c r="D154" s="6">
        <v>101.37</v>
      </c>
      <c r="E154" s="6">
        <f>E153</f>
        <v>105.18</v>
      </c>
      <c r="F154" s="6">
        <v>99.29</v>
      </c>
    </row>
    <row r="155" spans="1:6" x14ac:dyDescent="0.3">
      <c r="A155" s="3">
        <v>45148</v>
      </c>
      <c r="B155" s="6">
        <v>72.3</v>
      </c>
      <c r="C155" s="6">
        <v>88.82</v>
      </c>
      <c r="D155" s="6">
        <v>101.37</v>
      </c>
      <c r="E155" s="6">
        <f>E154</f>
        <v>105.18</v>
      </c>
      <c r="F155" s="6">
        <v>99.29</v>
      </c>
    </row>
    <row r="156" spans="1:6" x14ac:dyDescent="0.3">
      <c r="A156" s="2">
        <v>45149</v>
      </c>
      <c r="B156" s="6">
        <v>75.400000000000006</v>
      </c>
      <c r="C156" s="6">
        <v>92.25</v>
      </c>
      <c r="D156" s="6">
        <v>105.73</v>
      </c>
      <c r="E156" s="6">
        <f>_xlfn.XLOOKUP(A156,'[1]Price History'!$A$3:$A$946,'[1]Price History'!$K$3:$K$946)</f>
        <v>111.3</v>
      </c>
      <c r="F156" s="6">
        <v>101.49</v>
      </c>
    </row>
    <row r="157" spans="1:6" x14ac:dyDescent="0.3">
      <c r="A157" s="3">
        <v>45152</v>
      </c>
      <c r="B157" s="6">
        <v>75.400000000000006</v>
      </c>
      <c r="C157" s="6">
        <v>92.25</v>
      </c>
      <c r="D157" s="6">
        <v>105.73</v>
      </c>
      <c r="E157" s="6">
        <f>E156</f>
        <v>111.3</v>
      </c>
      <c r="F157" s="6">
        <v>101.49</v>
      </c>
    </row>
    <row r="158" spans="1:6" x14ac:dyDescent="0.3">
      <c r="A158" s="2">
        <v>45153</v>
      </c>
      <c r="B158" s="6">
        <v>75.400000000000006</v>
      </c>
      <c r="C158" s="6">
        <v>92.25</v>
      </c>
      <c r="D158" s="6">
        <v>105.73</v>
      </c>
      <c r="E158" s="6">
        <f>E157</f>
        <v>111.3</v>
      </c>
      <c r="F158" s="6">
        <v>101.49</v>
      </c>
    </row>
    <row r="159" spans="1:6" x14ac:dyDescent="0.3">
      <c r="A159" s="3">
        <v>45154</v>
      </c>
      <c r="B159" s="6">
        <v>75.400000000000006</v>
      </c>
      <c r="C159" s="6">
        <v>92.25</v>
      </c>
      <c r="D159" s="6">
        <v>105.73</v>
      </c>
      <c r="E159" s="6">
        <f>E158</f>
        <v>111.3</v>
      </c>
      <c r="F159" s="6">
        <v>101.49</v>
      </c>
    </row>
    <row r="160" spans="1:6" x14ac:dyDescent="0.3">
      <c r="A160" s="2">
        <v>45155</v>
      </c>
      <c r="B160" s="6">
        <v>75.400000000000006</v>
      </c>
      <c r="C160" s="6">
        <v>92.25</v>
      </c>
      <c r="D160" s="6">
        <v>105.73</v>
      </c>
      <c r="E160" s="6">
        <f>E159</f>
        <v>111.3</v>
      </c>
      <c r="F160" s="6">
        <v>101.49</v>
      </c>
    </row>
    <row r="161" spans="1:6" x14ac:dyDescent="0.3">
      <c r="A161" s="3">
        <v>45156</v>
      </c>
      <c r="B161" s="6">
        <v>79.28</v>
      </c>
      <c r="C161" s="6">
        <v>96.66</v>
      </c>
      <c r="D161" s="6">
        <v>110.94</v>
      </c>
      <c r="E161" s="6">
        <f>_xlfn.XLOOKUP(A161,'[1]Price History'!$A$3:$A$946,'[1]Price History'!$K$3:$K$946)</f>
        <v>115.63</v>
      </c>
      <c r="F161" s="6">
        <v>103.82</v>
      </c>
    </row>
    <row r="162" spans="1:6" x14ac:dyDescent="0.3">
      <c r="A162" s="2">
        <v>45159</v>
      </c>
      <c r="B162" s="6">
        <v>79.28</v>
      </c>
      <c r="C162" s="6">
        <v>96.66</v>
      </c>
      <c r="D162" s="6">
        <v>110.94</v>
      </c>
      <c r="E162" s="6">
        <f>E161</f>
        <v>115.63</v>
      </c>
      <c r="F162" s="6">
        <v>103.82</v>
      </c>
    </row>
    <row r="163" spans="1:6" x14ac:dyDescent="0.3">
      <c r="A163" s="3">
        <v>45160</v>
      </c>
      <c r="B163" s="6">
        <v>79.28</v>
      </c>
      <c r="C163" s="6">
        <v>96.66</v>
      </c>
      <c r="D163" s="6">
        <v>110.94</v>
      </c>
      <c r="E163" s="6">
        <f>E162</f>
        <v>115.63</v>
      </c>
      <c r="F163" s="6">
        <v>103.82</v>
      </c>
    </row>
    <row r="164" spans="1:6" x14ac:dyDescent="0.3">
      <c r="A164" s="2">
        <v>45161</v>
      </c>
      <c r="B164" s="6">
        <v>79.28</v>
      </c>
      <c r="C164" s="6">
        <v>96.66</v>
      </c>
      <c r="D164" s="6">
        <v>110.94</v>
      </c>
      <c r="E164" s="6">
        <f>E163</f>
        <v>115.63</v>
      </c>
      <c r="F164" s="6">
        <v>103.82</v>
      </c>
    </row>
    <row r="165" spans="1:6" x14ac:dyDescent="0.3">
      <c r="A165" s="3">
        <v>45162</v>
      </c>
      <c r="B165" s="6">
        <v>79.28</v>
      </c>
      <c r="C165" s="6">
        <v>96.66</v>
      </c>
      <c r="D165" s="6">
        <v>110.94</v>
      </c>
      <c r="E165" s="6">
        <f>E164</f>
        <v>115.63</v>
      </c>
      <c r="F165" s="6">
        <v>103.82</v>
      </c>
    </row>
    <row r="166" spans="1:6" x14ac:dyDescent="0.3">
      <c r="A166" s="2">
        <v>45163</v>
      </c>
      <c r="B166" s="6">
        <v>82.54</v>
      </c>
      <c r="C166" s="6">
        <v>100.17</v>
      </c>
      <c r="D166" s="6">
        <v>115.36</v>
      </c>
      <c r="E166" s="6">
        <f>_xlfn.XLOOKUP(A166,'[1]Price History'!$A$3:$A$946,'[1]Price History'!$K$3:$K$946)</f>
        <v>120.33</v>
      </c>
      <c r="F166" s="6">
        <v>105.88</v>
      </c>
    </row>
    <row r="167" spans="1:6" x14ac:dyDescent="0.3">
      <c r="A167" s="3">
        <v>45167</v>
      </c>
      <c r="B167" s="6">
        <v>82.54</v>
      </c>
      <c r="C167" s="6">
        <v>100.17</v>
      </c>
      <c r="D167" s="6">
        <v>115.36</v>
      </c>
      <c r="E167" s="6">
        <f>E166</f>
        <v>120.33</v>
      </c>
      <c r="F167" s="6">
        <v>105.88</v>
      </c>
    </row>
    <row r="168" spans="1:6" x14ac:dyDescent="0.3">
      <c r="A168" s="2">
        <v>45168</v>
      </c>
      <c r="B168" s="6">
        <v>82.54</v>
      </c>
      <c r="C168" s="6">
        <v>100.17</v>
      </c>
      <c r="D168" s="6">
        <v>115.36</v>
      </c>
      <c r="E168" s="6">
        <f>E167</f>
        <v>120.33</v>
      </c>
      <c r="F168" s="6">
        <v>105.88</v>
      </c>
    </row>
    <row r="169" spans="1:6" x14ac:dyDescent="0.3">
      <c r="A169" s="3">
        <v>45169</v>
      </c>
      <c r="B169" s="6">
        <v>82.54</v>
      </c>
      <c r="C169" s="6">
        <v>100.17</v>
      </c>
      <c r="D169" s="6">
        <v>115.36</v>
      </c>
      <c r="E169" s="6">
        <f>E168</f>
        <v>120.33</v>
      </c>
      <c r="F169" s="6">
        <v>105.88</v>
      </c>
    </row>
    <row r="170" spans="1:6" x14ac:dyDescent="0.3">
      <c r="A170" s="2">
        <v>45170</v>
      </c>
      <c r="B170" s="6">
        <v>81.790000000000006</v>
      </c>
      <c r="C170" s="6">
        <v>99.41</v>
      </c>
      <c r="D170" s="6">
        <v>113.72</v>
      </c>
      <c r="E170" s="6">
        <f>_xlfn.XLOOKUP(A170,'[1]Price History'!$A$3:$A$946,'[1]Price History'!$K$3:$K$946)</f>
        <v>112.63</v>
      </c>
      <c r="F170" s="6">
        <v>108.31</v>
      </c>
    </row>
    <row r="171" spans="1:6" x14ac:dyDescent="0.3">
      <c r="A171" s="3">
        <v>45173</v>
      </c>
      <c r="B171" s="6">
        <v>81.790000000000006</v>
      </c>
      <c r="C171" s="6">
        <v>99.41</v>
      </c>
      <c r="D171" s="6">
        <v>113.72</v>
      </c>
      <c r="E171" s="6">
        <f>E170</f>
        <v>112.63</v>
      </c>
      <c r="F171" s="6">
        <v>108.31</v>
      </c>
    </row>
    <row r="172" spans="1:6" x14ac:dyDescent="0.3">
      <c r="A172" s="2">
        <v>45174</v>
      </c>
      <c r="B172" s="6">
        <v>81.790000000000006</v>
      </c>
      <c r="C172" s="6">
        <v>99.41</v>
      </c>
      <c r="D172" s="6">
        <v>113.72</v>
      </c>
      <c r="E172" s="6">
        <f>E171</f>
        <v>112.63</v>
      </c>
      <c r="F172" s="6">
        <v>108.31</v>
      </c>
    </row>
    <row r="173" spans="1:6" x14ac:dyDescent="0.3">
      <c r="A173" s="3">
        <v>45175</v>
      </c>
      <c r="B173" s="6">
        <v>81.790000000000006</v>
      </c>
      <c r="C173" s="6">
        <v>99.41</v>
      </c>
      <c r="D173" s="6">
        <v>113.72</v>
      </c>
      <c r="E173" s="6">
        <f>E172</f>
        <v>112.63</v>
      </c>
      <c r="F173" s="6">
        <v>108.31</v>
      </c>
    </row>
    <row r="174" spans="1:6" x14ac:dyDescent="0.3">
      <c r="A174" s="2">
        <v>45176</v>
      </c>
      <c r="B174" s="6">
        <v>81.790000000000006</v>
      </c>
      <c r="C174" s="6">
        <v>99.41</v>
      </c>
      <c r="D174" s="6">
        <v>113.72</v>
      </c>
      <c r="E174" s="6">
        <f>E173</f>
        <v>112.63</v>
      </c>
      <c r="F174" s="6">
        <v>108.31</v>
      </c>
    </row>
    <row r="175" spans="1:6" x14ac:dyDescent="0.3">
      <c r="A175" s="3">
        <v>45177</v>
      </c>
      <c r="B175" s="6">
        <v>79.64</v>
      </c>
      <c r="C175" s="6">
        <v>97.85</v>
      </c>
      <c r="D175" s="6">
        <v>111.5</v>
      </c>
      <c r="E175" s="6">
        <f>_xlfn.XLOOKUP(A175,'[1]Price History'!$A$3:$A$946,'[1]Price History'!$K$3:$K$946)</f>
        <v>115.37</v>
      </c>
      <c r="F175" s="6">
        <v>108.41</v>
      </c>
    </row>
    <row r="176" spans="1:6" x14ac:dyDescent="0.3">
      <c r="A176" s="2">
        <v>45180</v>
      </c>
      <c r="B176" s="6">
        <v>79.64</v>
      </c>
      <c r="C176" s="6">
        <v>97.85</v>
      </c>
      <c r="D176" s="6">
        <v>111.5</v>
      </c>
      <c r="E176" s="6">
        <f>E175</f>
        <v>115.37</v>
      </c>
      <c r="F176" s="6">
        <v>108.41</v>
      </c>
    </row>
    <row r="177" spans="1:6" x14ac:dyDescent="0.3">
      <c r="A177" s="3">
        <v>45181</v>
      </c>
      <c r="B177" s="6">
        <v>79.64</v>
      </c>
      <c r="C177" s="6">
        <v>97.85</v>
      </c>
      <c r="D177" s="6">
        <v>111.5</v>
      </c>
      <c r="E177" s="6">
        <f>E176</f>
        <v>115.37</v>
      </c>
      <c r="F177" s="6">
        <v>108.41</v>
      </c>
    </row>
    <row r="178" spans="1:6" x14ac:dyDescent="0.3">
      <c r="A178" s="2">
        <v>45182</v>
      </c>
      <c r="B178" s="6">
        <v>79.64</v>
      </c>
      <c r="C178" s="6">
        <v>97.85</v>
      </c>
      <c r="D178" s="6">
        <v>111.5</v>
      </c>
      <c r="E178" s="6">
        <f>E177</f>
        <v>115.37</v>
      </c>
      <c r="F178" s="6">
        <v>108.41</v>
      </c>
    </row>
    <row r="179" spans="1:6" x14ac:dyDescent="0.3">
      <c r="A179" s="3">
        <v>45183</v>
      </c>
      <c r="B179" s="6">
        <v>79.64</v>
      </c>
      <c r="C179" s="6">
        <v>97.85</v>
      </c>
      <c r="D179" s="6">
        <v>111.5</v>
      </c>
      <c r="E179" s="6">
        <f>E178</f>
        <v>115.37</v>
      </c>
      <c r="F179" s="6">
        <v>108.41</v>
      </c>
    </row>
    <row r="180" spans="1:6" x14ac:dyDescent="0.3">
      <c r="A180" s="2">
        <v>45184</v>
      </c>
      <c r="B180" s="6">
        <v>85.45</v>
      </c>
      <c r="C180" s="6">
        <v>104.8</v>
      </c>
      <c r="D180" s="6">
        <v>118.88</v>
      </c>
      <c r="E180" s="6">
        <f>_xlfn.XLOOKUP(A180,'[1]Price History'!$A$3:$A$946,'[1]Price History'!$K$3:$K$946)</f>
        <v>122.34</v>
      </c>
      <c r="F180" s="6">
        <v>111.18</v>
      </c>
    </row>
    <row r="181" spans="1:6" x14ac:dyDescent="0.3">
      <c r="A181" s="3">
        <v>45187</v>
      </c>
      <c r="B181" s="6">
        <v>85.45</v>
      </c>
      <c r="C181" s="6">
        <v>104.8</v>
      </c>
      <c r="D181" s="6">
        <v>118.88</v>
      </c>
      <c r="E181" s="6">
        <f>E180</f>
        <v>122.34</v>
      </c>
      <c r="F181" s="6">
        <v>111.18</v>
      </c>
    </row>
    <row r="182" spans="1:6" x14ac:dyDescent="0.3">
      <c r="A182" s="2">
        <v>45188</v>
      </c>
      <c r="B182" s="6">
        <v>85.45</v>
      </c>
      <c r="C182" s="6">
        <v>104.8</v>
      </c>
      <c r="D182" s="6">
        <v>118.88</v>
      </c>
      <c r="E182" s="6">
        <f>E181</f>
        <v>122.34</v>
      </c>
      <c r="F182" s="6">
        <v>111.18</v>
      </c>
    </row>
    <row r="183" spans="1:6" x14ac:dyDescent="0.3">
      <c r="A183" s="3">
        <v>45189</v>
      </c>
      <c r="B183" s="6">
        <v>85.45</v>
      </c>
      <c r="C183" s="6">
        <v>104.8</v>
      </c>
      <c r="D183" s="6">
        <v>118.88</v>
      </c>
      <c r="E183" s="6">
        <f>E182</f>
        <v>122.34</v>
      </c>
      <c r="F183" s="6">
        <v>111.18</v>
      </c>
    </row>
    <row r="184" spans="1:6" x14ac:dyDescent="0.3">
      <c r="A184" s="2">
        <v>45190</v>
      </c>
      <c r="B184" s="6">
        <v>85.45</v>
      </c>
      <c r="C184" s="6">
        <v>104.8</v>
      </c>
      <c r="D184" s="6">
        <v>118.88</v>
      </c>
      <c r="E184" s="6">
        <f>E183</f>
        <v>122.34</v>
      </c>
      <c r="F184" s="6">
        <v>111.18</v>
      </c>
    </row>
    <row r="185" spans="1:6" x14ac:dyDescent="0.3">
      <c r="A185" s="3">
        <v>45191</v>
      </c>
      <c r="B185" s="6">
        <v>88.71</v>
      </c>
      <c r="C185" s="6">
        <v>107.76</v>
      </c>
      <c r="D185" s="6">
        <v>123.98</v>
      </c>
      <c r="E185" s="6">
        <f>_xlfn.XLOOKUP(A185,'[1]Price History'!$A$3:$A$946,'[1]Price History'!$K$3:$K$946)</f>
        <v>131.77000000000001</v>
      </c>
      <c r="F185" s="6">
        <v>116.48</v>
      </c>
    </row>
    <row r="186" spans="1:6" x14ac:dyDescent="0.3">
      <c r="A186" s="2">
        <v>45194</v>
      </c>
      <c r="B186" s="6">
        <v>88.71</v>
      </c>
      <c r="C186" s="6">
        <v>107.76</v>
      </c>
      <c r="D186" s="6">
        <v>123.98</v>
      </c>
      <c r="E186" s="6">
        <f>E185</f>
        <v>131.77000000000001</v>
      </c>
      <c r="F186" s="6">
        <v>116.48</v>
      </c>
    </row>
    <row r="187" spans="1:6" x14ac:dyDescent="0.3">
      <c r="A187" s="3">
        <v>45195</v>
      </c>
      <c r="B187" s="6">
        <v>88.71</v>
      </c>
      <c r="C187" s="6">
        <v>107.76</v>
      </c>
      <c r="D187" s="6">
        <v>123.98</v>
      </c>
      <c r="E187" s="6">
        <f>E186</f>
        <v>131.77000000000001</v>
      </c>
      <c r="F187" s="6">
        <v>116.48</v>
      </c>
    </row>
    <row r="188" spans="1:6" x14ac:dyDescent="0.3">
      <c r="A188" s="2">
        <v>45196</v>
      </c>
      <c r="B188" s="6">
        <v>88.71</v>
      </c>
      <c r="C188" s="6">
        <v>107.76</v>
      </c>
      <c r="D188" s="6">
        <v>123.98</v>
      </c>
      <c r="E188" s="6">
        <f>E187</f>
        <v>131.77000000000001</v>
      </c>
      <c r="F188" s="6">
        <v>116.48</v>
      </c>
    </row>
    <row r="189" spans="1:6" x14ac:dyDescent="0.3">
      <c r="A189" s="3">
        <v>45197</v>
      </c>
      <c r="B189" s="6">
        <v>88.71</v>
      </c>
      <c r="C189" s="6">
        <v>107.76</v>
      </c>
      <c r="D189" s="6">
        <v>123.98</v>
      </c>
      <c r="E189" s="6">
        <f>E188</f>
        <v>131.77000000000001</v>
      </c>
      <c r="F189" s="6">
        <v>116.48</v>
      </c>
    </row>
    <row r="190" spans="1:6" x14ac:dyDescent="0.3">
      <c r="A190" s="2">
        <v>45198</v>
      </c>
      <c r="B190" s="6">
        <v>89.84</v>
      </c>
      <c r="C190" s="6">
        <v>109.47</v>
      </c>
      <c r="D190" s="6">
        <v>125.8</v>
      </c>
      <c r="E190" s="6">
        <f>_xlfn.XLOOKUP(A190,'[1]Price History'!$A$3:$A$946,'[1]Price History'!$K$3:$K$946)</f>
        <v>133.79</v>
      </c>
      <c r="F190" s="6">
        <v>118.29</v>
      </c>
    </row>
    <row r="191" spans="1:6" x14ac:dyDescent="0.3">
      <c r="A191" s="3">
        <v>45201</v>
      </c>
      <c r="B191" s="6">
        <v>89.84</v>
      </c>
      <c r="C191" s="6">
        <v>109.47</v>
      </c>
      <c r="D191" s="6">
        <v>125.8</v>
      </c>
      <c r="E191" s="6">
        <f>E190</f>
        <v>133.79</v>
      </c>
      <c r="F191" s="6">
        <v>118.29</v>
      </c>
    </row>
    <row r="192" spans="1:6" x14ac:dyDescent="0.3">
      <c r="A192" s="2">
        <v>45202</v>
      </c>
      <c r="B192" s="6">
        <v>89.84</v>
      </c>
      <c r="C192" s="6">
        <v>109.47</v>
      </c>
      <c r="D192" s="6">
        <v>125.8</v>
      </c>
      <c r="E192" s="6">
        <f>E191</f>
        <v>133.79</v>
      </c>
      <c r="F192" s="6">
        <v>118.29</v>
      </c>
    </row>
    <row r="193" spans="1:6" x14ac:dyDescent="0.3">
      <c r="A193" s="3">
        <v>45203</v>
      </c>
      <c r="B193" s="6">
        <v>89.84</v>
      </c>
      <c r="C193" s="6">
        <v>109.47</v>
      </c>
      <c r="D193" s="6">
        <v>125.8</v>
      </c>
      <c r="E193" s="6">
        <f>E192</f>
        <v>133.79</v>
      </c>
      <c r="F193" s="6">
        <v>118.29</v>
      </c>
    </row>
    <row r="194" spans="1:6" x14ac:dyDescent="0.3">
      <c r="A194" s="2">
        <v>45204</v>
      </c>
      <c r="B194" s="6">
        <v>89.84</v>
      </c>
      <c r="C194" s="6">
        <v>109.47</v>
      </c>
      <c r="D194" s="6">
        <v>125.8</v>
      </c>
      <c r="E194" s="6">
        <f>E193</f>
        <v>133.79</v>
      </c>
      <c r="F194" s="6">
        <v>118.29</v>
      </c>
    </row>
    <row r="195" spans="1:6" x14ac:dyDescent="0.3">
      <c r="A195" s="3">
        <v>45205</v>
      </c>
      <c r="B195" s="6">
        <v>84.48</v>
      </c>
      <c r="C195" s="6">
        <v>101.92</v>
      </c>
      <c r="D195" s="6">
        <v>117.35</v>
      </c>
      <c r="E195" s="6">
        <f>_xlfn.XLOOKUP(A195,'[1]Price History'!$A$3:$A$946,'[1]Price History'!$K$3:$K$946)</f>
        <v>125.44</v>
      </c>
      <c r="F195" s="6">
        <v>119.6</v>
      </c>
    </row>
    <row r="196" spans="1:6" x14ac:dyDescent="0.3">
      <c r="A196" s="2">
        <v>45208</v>
      </c>
      <c r="B196" s="6">
        <v>84.48</v>
      </c>
      <c r="C196" s="6">
        <v>101.92</v>
      </c>
      <c r="D196" s="6">
        <v>117.35</v>
      </c>
      <c r="E196" s="6">
        <f>E195</f>
        <v>125.44</v>
      </c>
      <c r="F196" s="6">
        <v>119.6</v>
      </c>
    </row>
    <row r="197" spans="1:6" x14ac:dyDescent="0.3">
      <c r="A197" s="3">
        <v>45209</v>
      </c>
      <c r="B197" s="6">
        <v>84.48</v>
      </c>
      <c r="C197" s="6">
        <v>101.92</v>
      </c>
      <c r="D197" s="6">
        <v>117.35</v>
      </c>
      <c r="E197" s="6">
        <f>E196</f>
        <v>125.44</v>
      </c>
      <c r="F197" s="6">
        <v>119.6</v>
      </c>
    </row>
    <row r="198" spans="1:6" x14ac:dyDescent="0.3">
      <c r="A198" s="2">
        <v>45210</v>
      </c>
      <c r="B198" s="6">
        <v>84.48</v>
      </c>
      <c r="C198" s="6">
        <v>101.92</v>
      </c>
      <c r="D198" s="6">
        <v>117.35</v>
      </c>
      <c r="E198" s="6">
        <f>E197</f>
        <v>125.44</v>
      </c>
      <c r="F198" s="6">
        <v>119.6</v>
      </c>
    </row>
    <row r="199" spans="1:6" x14ac:dyDescent="0.3">
      <c r="A199" s="3">
        <v>45211</v>
      </c>
      <c r="B199" s="6">
        <v>84.48</v>
      </c>
      <c r="C199" s="6">
        <v>101.92</v>
      </c>
      <c r="D199" s="6">
        <v>117.35</v>
      </c>
      <c r="E199" s="6">
        <f>E198</f>
        <v>125.44</v>
      </c>
      <c r="F199" s="6">
        <v>119.6</v>
      </c>
    </row>
    <row r="200" spans="1:6" x14ac:dyDescent="0.3">
      <c r="A200" s="2">
        <v>45212</v>
      </c>
      <c r="B200" s="6">
        <v>91.16</v>
      </c>
      <c r="C200" s="6">
        <v>112.25</v>
      </c>
      <c r="D200" s="6">
        <v>125.93</v>
      </c>
      <c r="E200" s="6">
        <f>_xlfn.XLOOKUP(A200,'[1]Price History'!$A$3:$A$946,'[1]Price History'!$K$3:$K$946)</f>
        <v>133.41</v>
      </c>
      <c r="F200" s="6">
        <v>123.7</v>
      </c>
    </row>
    <row r="201" spans="1:6" x14ac:dyDescent="0.3">
      <c r="A201" s="3">
        <v>45215</v>
      </c>
      <c r="B201" s="6">
        <v>91.16</v>
      </c>
      <c r="C201" s="6">
        <v>112.25</v>
      </c>
      <c r="D201" s="6">
        <v>125.93</v>
      </c>
      <c r="E201" s="6">
        <f>E200</f>
        <v>133.41</v>
      </c>
      <c r="F201" s="6">
        <v>123.7</v>
      </c>
    </row>
    <row r="202" spans="1:6" x14ac:dyDescent="0.3">
      <c r="A202" s="2">
        <v>45216</v>
      </c>
      <c r="B202" s="6">
        <v>91.16</v>
      </c>
      <c r="C202" s="6">
        <v>112.25</v>
      </c>
      <c r="D202" s="6">
        <v>125.93</v>
      </c>
      <c r="E202" s="6">
        <f>E201</f>
        <v>133.41</v>
      </c>
      <c r="F202" s="6">
        <v>123.7</v>
      </c>
    </row>
    <row r="203" spans="1:6" x14ac:dyDescent="0.3">
      <c r="A203" s="3">
        <v>45217</v>
      </c>
      <c r="B203" s="6">
        <v>91.16</v>
      </c>
      <c r="C203" s="6">
        <v>112.25</v>
      </c>
      <c r="D203" s="6">
        <v>125.93</v>
      </c>
      <c r="E203" s="6">
        <f>E202</f>
        <v>133.41</v>
      </c>
      <c r="F203" s="6">
        <v>123.7</v>
      </c>
    </row>
    <row r="204" spans="1:6" x14ac:dyDescent="0.3">
      <c r="A204" s="2">
        <v>45218</v>
      </c>
      <c r="B204" s="6">
        <v>91.16</v>
      </c>
      <c r="C204" s="6">
        <v>112.25</v>
      </c>
      <c r="D204" s="6">
        <v>125.93</v>
      </c>
      <c r="E204" s="6">
        <f>E203</f>
        <v>133.41</v>
      </c>
      <c r="F204" s="6">
        <v>123.7</v>
      </c>
    </row>
    <row r="205" spans="1:6" x14ac:dyDescent="0.3">
      <c r="A205" s="3">
        <v>45219</v>
      </c>
      <c r="B205" s="6">
        <v>94.45</v>
      </c>
      <c r="C205" s="6">
        <v>113.71</v>
      </c>
      <c r="D205" s="6">
        <v>128.44</v>
      </c>
      <c r="E205" s="6">
        <f>_xlfn.XLOOKUP(A205,'[1]Price History'!$A$3:$A$946,'[1]Price History'!$K$3:$K$946)</f>
        <v>134.72999999999999</v>
      </c>
      <c r="F205" s="6">
        <v>124.55</v>
      </c>
    </row>
    <row r="206" spans="1:6" x14ac:dyDescent="0.3">
      <c r="A206" s="2">
        <v>45222</v>
      </c>
      <c r="B206" s="6">
        <v>94.45</v>
      </c>
      <c r="C206" s="6">
        <v>113.71</v>
      </c>
      <c r="D206" s="6">
        <v>128.44</v>
      </c>
      <c r="E206" s="6">
        <f>E205</f>
        <v>134.72999999999999</v>
      </c>
      <c r="F206" s="6">
        <v>124.55</v>
      </c>
    </row>
    <row r="207" spans="1:6" x14ac:dyDescent="0.3">
      <c r="A207" s="3">
        <v>45223</v>
      </c>
      <c r="B207" s="6">
        <v>94.45</v>
      </c>
      <c r="C207" s="6">
        <v>113.71</v>
      </c>
      <c r="D207" s="6">
        <v>128.44</v>
      </c>
      <c r="E207" s="6">
        <f>E206</f>
        <v>134.72999999999999</v>
      </c>
      <c r="F207" s="6">
        <v>124.55</v>
      </c>
    </row>
    <row r="208" spans="1:6" x14ac:dyDescent="0.3">
      <c r="A208" s="2">
        <v>45224</v>
      </c>
      <c r="B208" s="6">
        <v>94.45</v>
      </c>
      <c r="C208" s="6">
        <v>113.71</v>
      </c>
      <c r="D208" s="6">
        <v>128.44</v>
      </c>
      <c r="E208" s="6">
        <f>E207</f>
        <v>134.72999999999999</v>
      </c>
      <c r="F208" s="6">
        <v>124.55</v>
      </c>
    </row>
    <row r="209" spans="1:6" x14ac:dyDescent="0.3">
      <c r="A209" s="3">
        <v>45225</v>
      </c>
      <c r="B209" s="6">
        <v>94.45</v>
      </c>
      <c r="C209" s="6">
        <v>113.71</v>
      </c>
      <c r="D209" s="6">
        <v>128.44</v>
      </c>
      <c r="E209" s="6">
        <f>E208</f>
        <v>134.72999999999999</v>
      </c>
      <c r="F209" s="6">
        <v>124.55</v>
      </c>
    </row>
    <row r="210" spans="1:6" x14ac:dyDescent="0.3">
      <c r="A210" s="2">
        <v>45226</v>
      </c>
      <c r="B210" s="6">
        <v>88.64</v>
      </c>
      <c r="C210" s="6">
        <v>107.51</v>
      </c>
      <c r="D210" s="6">
        <v>121.68</v>
      </c>
      <c r="E210" s="6">
        <f>_xlfn.XLOOKUP(A210,'[1]Price History'!$A$3:$A$946,'[1]Price History'!$K$3:$K$946)</f>
        <v>126.8</v>
      </c>
      <c r="F210" s="6">
        <v>121.91</v>
      </c>
    </row>
    <row r="211" spans="1:6" x14ac:dyDescent="0.3">
      <c r="A211" s="3">
        <v>45229</v>
      </c>
      <c r="B211" s="6">
        <v>88.64</v>
      </c>
      <c r="C211" s="6">
        <v>107.51</v>
      </c>
      <c r="D211" s="6">
        <v>121.68</v>
      </c>
      <c r="E211" s="6">
        <f>E210</f>
        <v>126.8</v>
      </c>
      <c r="F211" s="6">
        <v>121.91</v>
      </c>
    </row>
    <row r="212" spans="1:6" x14ac:dyDescent="0.3">
      <c r="A212" s="2">
        <v>45230</v>
      </c>
      <c r="B212" s="6">
        <v>88.64</v>
      </c>
      <c r="C212" s="6">
        <v>107.51</v>
      </c>
      <c r="D212" s="6">
        <v>121.68</v>
      </c>
      <c r="E212" s="6">
        <f>E211</f>
        <v>126.8</v>
      </c>
      <c r="F212" s="6">
        <v>121.91</v>
      </c>
    </row>
    <row r="213" spans="1:6" x14ac:dyDescent="0.3">
      <c r="A213" s="3">
        <v>45231</v>
      </c>
      <c r="B213" s="6">
        <v>88.64</v>
      </c>
      <c r="C213" s="6">
        <v>107.51</v>
      </c>
      <c r="D213" s="6">
        <v>121.68</v>
      </c>
      <c r="E213" s="6">
        <f>E212</f>
        <v>126.8</v>
      </c>
      <c r="F213" s="6">
        <v>121.91</v>
      </c>
    </row>
    <row r="214" spans="1:6" x14ac:dyDescent="0.3">
      <c r="A214" s="2">
        <v>45232</v>
      </c>
      <c r="B214" s="6">
        <v>88.64</v>
      </c>
      <c r="C214" s="6">
        <v>107.51</v>
      </c>
      <c r="D214" s="6">
        <v>121.68</v>
      </c>
      <c r="E214" s="6">
        <f>E213</f>
        <v>126.8</v>
      </c>
      <c r="F214" s="6">
        <v>121.91</v>
      </c>
    </row>
    <row r="215" spans="1:6" x14ac:dyDescent="0.3">
      <c r="A215" s="3">
        <v>45233</v>
      </c>
      <c r="B215" s="6">
        <v>83.18</v>
      </c>
      <c r="C215" s="6">
        <v>101.26</v>
      </c>
      <c r="D215" s="6">
        <v>114.85</v>
      </c>
      <c r="E215" s="6">
        <f>_xlfn.XLOOKUP(A215,'[1]Price History'!$A$3:$A$946,'[1]Price History'!$K$3:$K$946)</f>
        <v>122.27</v>
      </c>
      <c r="F215" s="6">
        <v>117.57</v>
      </c>
    </row>
    <row r="216" spans="1:6" x14ac:dyDescent="0.3">
      <c r="A216" s="2">
        <v>45236</v>
      </c>
      <c r="B216" s="6">
        <v>83.18</v>
      </c>
      <c r="C216" s="6">
        <v>101.26</v>
      </c>
      <c r="D216" s="6">
        <v>114.85</v>
      </c>
      <c r="E216" s="6">
        <f>E215</f>
        <v>122.27</v>
      </c>
      <c r="F216" s="6">
        <v>117.57</v>
      </c>
    </row>
    <row r="217" spans="1:6" x14ac:dyDescent="0.3">
      <c r="A217" s="3">
        <v>45237</v>
      </c>
      <c r="B217" s="6">
        <v>83.18</v>
      </c>
      <c r="C217" s="6">
        <v>101.26</v>
      </c>
      <c r="D217" s="6">
        <v>114.85</v>
      </c>
      <c r="E217" s="6">
        <f>E216</f>
        <v>122.27</v>
      </c>
      <c r="F217" s="6">
        <v>117.57</v>
      </c>
    </row>
    <row r="218" spans="1:6" x14ac:dyDescent="0.3">
      <c r="A218" s="2">
        <v>45238</v>
      </c>
      <c r="B218" s="6">
        <v>83.18</v>
      </c>
      <c r="C218" s="6">
        <v>101.26</v>
      </c>
      <c r="D218" s="6">
        <v>114.85</v>
      </c>
      <c r="E218" s="6">
        <f>E217</f>
        <v>122.27</v>
      </c>
      <c r="F218" s="6">
        <v>117.57</v>
      </c>
    </row>
    <row r="219" spans="1:6" x14ac:dyDescent="0.3">
      <c r="A219" s="3">
        <v>45239</v>
      </c>
      <c r="B219" s="6">
        <v>83.18</v>
      </c>
      <c r="C219" s="6">
        <v>101.26</v>
      </c>
      <c r="D219" s="6">
        <v>114.85</v>
      </c>
      <c r="E219" s="6">
        <f>E218</f>
        <v>122.27</v>
      </c>
      <c r="F219" s="6">
        <v>117.57</v>
      </c>
    </row>
    <row r="220" spans="1:6" x14ac:dyDescent="0.3">
      <c r="A220" s="2">
        <v>45240</v>
      </c>
      <c r="B220" s="6">
        <v>77.81</v>
      </c>
      <c r="C220" s="6">
        <v>94.6</v>
      </c>
      <c r="D220" s="6">
        <v>108.43</v>
      </c>
      <c r="E220" s="6">
        <f>_xlfn.XLOOKUP(A220,'[1]Price History'!$A$3:$A$946,'[1]Price History'!$K$3:$K$946)</f>
        <v>116.69</v>
      </c>
      <c r="F220" s="6">
        <v>114.04</v>
      </c>
    </row>
    <row r="221" spans="1:6" x14ac:dyDescent="0.3">
      <c r="A221" s="3">
        <v>45243</v>
      </c>
      <c r="B221" s="6">
        <v>77.81</v>
      </c>
      <c r="C221" s="6">
        <v>94.6</v>
      </c>
      <c r="D221" s="6">
        <v>108.43</v>
      </c>
      <c r="E221" s="6">
        <f>E220</f>
        <v>116.69</v>
      </c>
      <c r="F221" s="6">
        <v>114.04</v>
      </c>
    </row>
    <row r="222" spans="1:6" x14ac:dyDescent="0.3">
      <c r="A222" s="2">
        <v>45244</v>
      </c>
      <c r="B222" s="6">
        <v>77.81</v>
      </c>
      <c r="C222" s="6">
        <v>94.6</v>
      </c>
      <c r="D222" s="6">
        <v>108.43</v>
      </c>
      <c r="E222" s="6">
        <f>E221</f>
        <v>116.69</v>
      </c>
      <c r="F222" s="6">
        <v>114.04</v>
      </c>
    </row>
    <row r="223" spans="1:6" x14ac:dyDescent="0.3">
      <c r="A223" s="3">
        <v>45245</v>
      </c>
      <c r="B223" s="6">
        <v>77.81</v>
      </c>
      <c r="C223" s="6">
        <v>94.6</v>
      </c>
      <c r="D223" s="6">
        <v>108.43</v>
      </c>
      <c r="E223" s="6">
        <f>E222</f>
        <v>116.69</v>
      </c>
      <c r="F223" s="6">
        <v>114.04</v>
      </c>
    </row>
    <row r="224" spans="1:6" x14ac:dyDescent="0.3">
      <c r="A224" s="2">
        <v>45246</v>
      </c>
      <c r="B224" s="6">
        <v>77.81</v>
      </c>
      <c r="C224" s="6">
        <v>94.6</v>
      </c>
      <c r="D224" s="6">
        <v>108.43</v>
      </c>
      <c r="E224" s="6">
        <f>E223</f>
        <v>116.69</v>
      </c>
      <c r="F224" s="6">
        <v>114.04</v>
      </c>
    </row>
    <row r="225" spans="1:6" x14ac:dyDescent="0.3">
      <c r="A225" s="3">
        <v>45247</v>
      </c>
      <c r="B225" s="6">
        <v>74.8</v>
      </c>
      <c r="C225" s="6">
        <v>91.56</v>
      </c>
      <c r="D225" s="6">
        <v>104.62</v>
      </c>
      <c r="E225" s="6">
        <f>_xlfn.XLOOKUP(A225,'[1]Price History'!$A$3:$A$946,'[1]Price History'!$K$3:$K$946)</f>
        <v>110.41</v>
      </c>
      <c r="F225" s="6">
        <v>113.29</v>
      </c>
    </row>
    <row r="226" spans="1:6" x14ac:dyDescent="0.3">
      <c r="A226" s="2">
        <v>45250</v>
      </c>
      <c r="B226" s="6">
        <v>74.8</v>
      </c>
      <c r="C226" s="6">
        <v>91.56</v>
      </c>
      <c r="D226" s="6">
        <v>104.62</v>
      </c>
      <c r="E226" s="6">
        <f>E225</f>
        <v>110.41</v>
      </c>
      <c r="F226" s="6">
        <v>113.29</v>
      </c>
    </row>
    <row r="227" spans="1:6" x14ac:dyDescent="0.3">
      <c r="A227" s="3">
        <v>45251</v>
      </c>
      <c r="B227" s="6">
        <v>74.8</v>
      </c>
      <c r="C227" s="6">
        <v>91.56</v>
      </c>
      <c r="D227" s="6">
        <v>104.62</v>
      </c>
      <c r="E227" s="6">
        <f>E226</f>
        <v>110.41</v>
      </c>
      <c r="F227" s="6">
        <v>113.29</v>
      </c>
    </row>
    <row r="228" spans="1:6" x14ac:dyDescent="0.3">
      <c r="A228" s="2">
        <v>45252</v>
      </c>
      <c r="B228" s="6">
        <v>74.8</v>
      </c>
      <c r="C228" s="6">
        <v>91.56</v>
      </c>
      <c r="D228" s="6">
        <v>104.62</v>
      </c>
      <c r="E228" s="6">
        <f>E227</f>
        <v>110.41</v>
      </c>
      <c r="F228" s="6">
        <v>113.29</v>
      </c>
    </row>
    <row r="229" spans="1:6" x14ac:dyDescent="0.3">
      <c r="A229" s="3">
        <v>45253</v>
      </c>
      <c r="B229" s="6">
        <v>74.8</v>
      </c>
      <c r="C229" s="6">
        <v>91.56</v>
      </c>
      <c r="D229" s="6">
        <v>104.62</v>
      </c>
      <c r="E229" s="6">
        <f>E228</f>
        <v>110.41</v>
      </c>
      <c r="F229" s="6">
        <v>113.29</v>
      </c>
    </row>
    <row r="230" spans="1:6" x14ac:dyDescent="0.3">
      <c r="A230" s="2">
        <v>45254</v>
      </c>
      <c r="B230" s="6">
        <v>76.819999999999993</v>
      </c>
      <c r="C230" s="6">
        <v>94.01</v>
      </c>
      <c r="D230" s="6">
        <v>105.44</v>
      </c>
      <c r="E230" s="6">
        <f>_xlfn.XLOOKUP(A230,'[1]Price History'!$A$3:$A$946,'[1]Price History'!$K$3:$K$946)</f>
        <v>109.99</v>
      </c>
      <c r="F230" s="6">
        <v>111.68</v>
      </c>
    </row>
    <row r="231" spans="1:6" x14ac:dyDescent="0.3">
      <c r="A231" s="3">
        <v>45257</v>
      </c>
      <c r="B231" s="6">
        <v>76.819999999999993</v>
      </c>
      <c r="C231" s="6">
        <v>94.01</v>
      </c>
      <c r="D231" s="6">
        <v>105.44</v>
      </c>
      <c r="E231" s="6">
        <f>E230</f>
        <v>109.99</v>
      </c>
      <c r="F231" s="6">
        <v>111.68</v>
      </c>
    </row>
    <row r="232" spans="1:6" x14ac:dyDescent="0.3">
      <c r="A232" s="2">
        <v>45258</v>
      </c>
      <c r="B232" s="6">
        <v>76.819999999999993</v>
      </c>
      <c r="C232" s="6">
        <v>94.01</v>
      </c>
      <c r="D232" s="6">
        <v>105.44</v>
      </c>
      <c r="E232" s="6">
        <f>E231</f>
        <v>109.99</v>
      </c>
      <c r="F232" s="6">
        <v>111.68</v>
      </c>
    </row>
    <row r="233" spans="1:6" x14ac:dyDescent="0.3">
      <c r="A233" s="3">
        <v>45259</v>
      </c>
      <c r="B233" s="6">
        <v>76.819999999999993</v>
      </c>
      <c r="C233" s="6">
        <v>94.01</v>
      </c>
      <c r="D233" s="6">
        <v>105.44</v>
      </c>
      <c r="E233" s="6">
        <f>E232</f>
        <v>109.99</v>
      </c>
      <c r="F233" s="6">
        <v>111.68</v>
      </c>
    </row>
    <row r="234" spans="1:6" x14ac:dyDescent="0.3">
      <c r="A234" s="2">
        <v>45260</v>
      </c>
      <c r="B234" s="6">
        <v>76.819999999999993</v>
      </c>
      <c r="C234" s="6">
        <v>94.01</v>
      </c>
      <c r="D234" s="6">
        <v>105.44</v>
      </c>
      <c r="E234" s="6">
        <f>E233</f>
        <v>109.99</v>
      </c>
      <c r="F234" s="6">
        <v>111.68</v>
      </c>
    </row>
    <row r="235" spans="1:6" x14ac:dyDescent="0.3">
      <c r="A235" s="3">
        <v>45261</v>
      </c>
      <c r="B235" s="6">
        <v>76.19</v>
      </c>
      <c r="C235" s="6">
        <v>93.15</v>
      </c>
      <c r="D235" s="6">
        <v>105.08</v>
      </c>
      <c r="E235" s="6">
        <f>_xlfn.XLOOKUP(A235,'[1]Price History'!$A$3:$A$946,'[1]Price History'!$K$3:$K$946)</f>
        <v>104.96</v>
      </c>
      <c r="F235" s="6">
        <v>110.66</v>
      </c>
    </row>
    <row r="236" spans="1:6" x14ac:dyDescent="0.3">
      <c r="A236" s="2">
        <v>45264</v>
      </c>
      <c r="B236" s="6">
        <v>76.19</v>
      </c>
      <c r="C236" s="6">
        <v>93.15</v>
      </c>
      <c r="D236" s="6">
        <v>105.08</v>
      </c>
      <c r="E236" s="6">
        <f>E235</f>
        <v>104.96</v>
      </c>
      <c r="F236" s="6">
        <v>110.66</v>
      </c>
    </row>
    <row r="237" spans="1:6" x14ac:dyDescent="0.3">
      <c r="A237" s="3">
        <v>45265</v>
      </c>
      <c r="B237" s="6">
        <v>76.19</v>
      </c>
      <c r="C237" s="6">
        <v>93.15</v>
      </c>
      <c r="D237" s="6">
        <v>105.08</v>
      </c>
      <c r="E237" s="6">
        <f>E236</f>
        <v>104.96</v>
      </c>
      <c r="F237" s="6">
        <v>110.66</v>
      </c>
    </row>
    <row r="238" spans="1:6" x14ac:dyDescent="0.3">
      <c r="A238" s="2">
        <v>45266</v>
      </c>
      <c r="B238" s="6">
        <v>76.19</v>
      </c>
      <c r="C238" s="6">
        <v>93.15</v>
      </c>
      <c r="D238" s="6">
        <v>105.08</v>
      </c>
      <c r="E238" s="6">
        <f>E237</f>
        <v>104.96</v>
      </c>
      <c r="F238" s="6">
        <v>110.66</v>
      </c>
    </row>
    <row r="239" spans="1:6" x14ac:dyDescent="0.3">
      <c r="A239" s="3">
        <v>45267</v>
      </c>
      <c r="B239" s="6">
        <v>76.19</v>
      </c>
      <c r="C239" s="6">
        <v>93.15</v>
      </c>
      <c r="D239" s="6">
        <v>105.08</v>
      </c>
      <c r="E239" s="6">
        <f>E238</f>
        <v>104.96</v>
      </c>
      <c r="F239" s="6">
        <v>110.66</v>
      </c>
    </row>
    <row r="240" spans="1:6" x14ac:dyDescent="0.3">
      <c r="A240" s="2">
        <v>45268</v>
      </c>
      <c r="B240" s="6">
        <v>73.959999999999994</v>
      </c>
      <c r="C240" s="6">
        <v>89.28</v>
      </c>
      <c r="D240" s="6">
        <v>100.27</v>
      </c>
      <c r="E240" s="6">
        <f>_xlfn.XLOOKUP(A240,'[1]Price History'!$A$3:$A$946,'[1]Price History'!$K$3:$K$946)</f>
        <v>101.73</v>
      </c>
      <c r="F240" s="6">
        <v>108.33</v>
      </c>
    </row>
    <row r="241" spans="1:6" x14ac:dyDescent="0.3">
      <c r="A241" s="3">
        <v>45271</v>
      </c>
      <c r="B241" s="6">
        <v>73.959999999999994</v>
      </c>
      <c r="C241" s="6">
        <v>89.28</v>
      </c>
      <c r="D241" s="6">
        <v>100.27</v>
      </c>
      <c r="E241" s="6">
        <f>E240</f>
        <v>101.73</v>
      </c>
      <c r="F241" s="6">
        <v>108.33</v>
      </c>
    </row>
    <row r="242" spans="1:6" x14ac:dyDescent="0.3">
      <c r="A242" s="2">
        <v>45272</v>
      </c>
      <c r="B242" s="6">
        <v>73.959999999999994</v>
      </c>
      <c r="C242" s="6">
        <v>89.28</v>
      </c>
      <c r="D242" s="6">
        <v>100.27</v>
      </c>
      <c r="E242" s="6">
        <f>E241</f>
        <v>101.73</v>
      </c>
      <c r="F242" s="6">
        <v>108.33</v>
      </c>
    </row>
    <row r="243" spans="1:6" x14ac:dyDescent="0.3">
      <c r="A243" s="3">
        <v>45273</v>
      </c>
      <c r="B243" s="6">
        <v>73.959999999999994</v>
      </c>
      <c r="C243" s="6">
        <v>89.28</v>
      </c>
      <c r="D243" s="6">
        <v>100.27</v>
      </c>
      <c r="E243" s="6">
        <f>E242</f>
        <v>101.73</v>
      </c>
      <c r="F243" s="6">
        <v>108.33</v>
      </c>
    </row>
    <row r="244" spans="1:6" x14ac:dyDescent="0.3">
      <c r="A244" s="2">
        <v>45274</v>
      </c>
      <c r="B244" s="6">
        <v>73.959999999999994</v>
      </c>
      <c r="C244" s="6">
        <v>89.28</v>
      </c>
      <c r="D244" s="6">
        <v>100.27</v>
      </c>
      <c r="E244" s="6">
        <f>E243</f>
        <v>101.73</v>
      </c>
      <c r="F244" s="6">
        <v>108.33</v>
      </c>
    </row>
    <row r="245" spans="1:6" x14ac:dyDescent="0.3">
      <c r="A245" s="3">
        <v>45275</v>
      </c>
      <c r="B245" s="6">
        <v>70.8</v>
      </c>
      <c r="C245" s="6">
        <v>86.89</v>
      </c>
      <c r="D245" s="6">
        <v>98.24</v>
      </c>
      <c r="E245" s="6">
        <f>_xlfn.XLOOKUP(A245,'[1]Price History'!$A$3:$A$946,'[1]Price History'!$K$3:$K$946)</f>
        <v>99.81</v>
      </c>
      <c r="F245" s="6">
        <v>104.07</v>
      </c>
    </row>
    <row r="246" spans="1:6" x14ac:dyDescent="0.3">
      <c r="A246" s="2">
        <v>45278</v>
      </c>
      <c r="B246" s="6">
        <v>70.8</v>
      </c>
      <c r="C246" s="6">
        <v>86.89</v>
      </c>
      <c r="D246" s="6">
        <v>98.24</v>
      </c>
      <c r="E246" s="6">
        <f>E245</f>
        <v>99.81</v>
      </c>
      <c r="F246" s="6">
        <v>104.07</v>
      </c>
    </row>
    <row r="247" spans="1:6" x14ac:dyDescent="0.3">
      <c r="A247" s="3">
        <v>45279</v>
      </c>
      <c r="B247" s="6">
        <v>70.8</v>
      </c>
      <c r="C247" s="6">
        <v>86.89</v>
      </c>
      <c r="D247" s="6">
        <v>98.24</v>
      </c>
      <c r="E247" s="6">
        <f>E246</f>
        <v>99.81</v>
      </c>
      <c r="F247" s="6">
        <v>104.07</v>
      </c>
    </row>
    <row r="248" spans="1:6" x14ac:dyDescent="0.3">
      <c r="A248" s="2">
        <v>45280</v>
      </c>
      <c r="B248" s="6">
        <v>70.8</v>
      </c>
      <c r="C248" s="6">
        <v>86.89</v>
      </c>
      <c r="D248" s="6">
        <v>98.24</v>
      </c>
      <c r="E248" s="6">
        <f>E247</f>
        <v>99.81</v>
      </c>
      <c r="F248" s="6">
        <v>104.07</v>
      </c>
    </row>
    <row r="249" spans="1:6" x14ac:dyDescent="0.3">
      <c r="A249" s="3">
        <v>45281</v>
      </c>
      <c r="B249" s="6">
        <v>70.8</v>
      </c>
      <c r="C249" s="6">
        <v>86.89</v>
      </c>
      <c r="D249" s="6">
        <v>98.24</v>
      </c>
      <c r="E249" s="6">
        <f>E248</f>
        <v>99.81</v>
      </c>
      <c r="F249" s="6">
        <v>104.07</v>
      </c>
    </row>
    <row r="250" spans="1:6" x14ac:dyDescent="0.3">
      <c r="A250" s="2">
        <v>45282</v>
      </c>
      <c r="B250" s="6">
        <v>70.349999999999994</v>
      </c>
      <c r="C250" s="6">
        <v>86.36</v>
      </c>
      <c r="D250" s="6">
        <v>97.18</v>
      </c>
      <c r="E250" s="6">
        <f>_xlfn.XLOOKUP(A250,'[1]Price History'!$A$3:$A$946,'[1]Price History'!$K$3:$K$946)</f>
        <v>97.99</v>
      </c>
      <c r="F250" s="6">
        <v>103.44</v>
      </c>
    </row>
    <row r="251" spans="1:6" x14ac:dyDescent="0.3">
      <c r="A251" s="3">
        <v>45286</v>
      </c>
      <c r="B251" s="6"/>
      <c r="C251" s="6"/>
      <c r="D251" s="6"/>
      <c r="E251" s="6">
        <f>E250</f>
        <v>97.99</v>
      </c>
      <c r="F251" s="6"/>
    </row>
    <row r="252" spans="1:6" x14ac:dyDescent="0.3">
      <c r="A252" s="2">
        <v>45287</v>
      </c>
      <c r="B252" s="6">
        <v>70.349999999999994</v>
      </c>
      <c r="C252" s="6">
        <v>86.36</v>
      </c>
      <c r="D252" s="6">
        <v>97.18</v>
      </c>
      <c r="E252" s="6">
        <f>E251</f>
        <v>97.99</v>
      </c>
      <c r="F252" s="6">
        <v>103.44</v>
      </c>
    </row>
    <row r="253" spans="1:6" x14ac:dyDescent="0.3">
      <c r="A253" s="3">
        <v>45288</v>
      </c>
      <c r="B253" s="6">
        <v>70.349999999999994</v>
      </c>
      <c r="C253" s="6">
        <v>86.36</v>
      </c>
      <c r="D253" s="6">
        <v>97.18</v>
      </c>
      <c r="E253" s="6">
        <f>E252</f>
        <v>97.99</v>
      </c>
      <c r="F253" s="6">
        <v>103.44</v>
      </c>
    </row>
    <row r="254" spans="1:6" x14ac:dyDescent="0.3">
      <c r="A254" s="2">
        <v>45289</v>
      </c>
      <c r="B254" s="6">
        <v>70.83</v>
      </c>
      <c r="C254" s="6">
        <v>84.89</v>
      </c>
      <c r="D254" s="6">
        <v>97.04</v>
      </c>
      <c r="E254" s="6">
        <f>_xlfn.XLOOKUP(A254,'[1]Price History'!$A$3:$A$946,'[1]Price History'!$K$3:$K$946)</f>
        <v>97.56</v>
      </c>
      <c r="F254" s="6">
        <v>103.05</v>
      </c>
    </row>
  </sheetData>
  <pageMargins left="0.7" right="0.7" top="0.75" bottom="0.75" header="0.3" footer="0.3"/>
  <customProperties>
    <customPr name="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88F6-9F2E-4022-8A19-11F1EF4A81BB}">
  <dimension ref="A1:F128"/>
  <sheetViews>
    <sheetView workbookViewId="0">
      <selection activeCell="E130" sqref="E130"/>
    </sheetView>
  </sheetViews>
  <sheetFormatPr defaultRowHeight="14.4" x14ac:dyDescent="0.3"/>
  <cols>
    <col min="1" max="1" width="11.5546875" bestFit="1" customWidth="1"/>
    <col min="2" max="4" width="19" bestFit="1" customWidth="1"/>
    <col min="5" max="5" width="20" bestFit="1" customWidth="1"/>
    <col min="6" max="6" width="22.44140625" bestFit="1" customWidth="1"/>
  </cols>
  <sheetData>
    <row r="1" spans="1:6" s="5" customFormat="1" ht="57.6" x14ac:dyDescent="0.3">
      <c r="A1" s="1"/>
      <c r="B1" s="4" t="s">
        <v>0</v>
      </c>
      <c r="C1" s="4" t="s">
        <v>1</v>
      </c>
      <c r="D1" s="4" t="s">
        <v>2</v>
      </c>
      <c r="E1" s="4" t="s">
        <v>6</v>
      </c>
      <c r="F1" s="4" t="s">
        <v>3</v>
      </c>
    </row>
    <row r="2" spans="1:6" x14ac:dyDescent="0.3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x14ac:dyDescent="0.3">
      <c r="A3" s="3">
        <v>45293</v>
      </c>
      <c r="B3" s="9">
        <v>70.83</v>
      </c>
      <c r="C3" s="9">
        <v>84.89</v>
      </c>
      <c r="D3" s="9">
        <v>97.04</v>
      </c>
      <c r="E3" s="9">
        <v>94.75</v>
      </c>
      <c r="F3" s="9">
        <v>103.05</v>
      </c>
    </row>
    <row r="4" spans="1:6" x14ac:dyDescent="0.3">
      <c r="A4" s="2">
        <v>45294</v>
      </c>
      <c r="B4" s="10">
        <v>70.83</v>
      </c>
      <c r="C4" s="10">
        <v>84.89</v>
      </c>
      <c r="D4" s="10">
        <v>97.04</v>
      </c>
      <c r="E4" s="10">
        <v>94.75</v>
      </c>
      <c r="F4" s="10">
        <v>103.05</v>
      </c>
    </row>
    <row r="5" spans="1:6" x14ac:dyDescent="0.3">
      <c r="A5" s="3">
        <v>45295</v>
      </c>
      <c r="B5" s="9">
        <v>70.83</v>
      </c>
      <c r="C5" s="9">
        <v>84.89</v>
      </c>
      <c r="D5" s="9">
        <v>97.04</v>
      </c>
      <c r="E5" s="9">
        <v>94.75</v>
      </c>
      <c r="F5" s="9">
        <v>103.05</v>
      </c>
    </row>
    <row r="6" spans="1:6" x14ac:dyDescent="0.3">
      <c r="A6" s="2">
        <v>45296</v>
      </c>
      <c r="B6" s="10">
        <v>70.58</v>
      </c>
      <c r="C6" s="10">
        <v>84.87</v>
      </c>
      <c r="D6" s="10">
        <v>96.54</v>
      </c>
      <c r="E6" s="10">
        <v>94.75</v>
      </c>
      <c r="F6" s="10">
        <v>102.62</v>
      </c>
    </row>
    <row r="7" spans="1:6" x14ac:dyDescent="0.3">
      <c r="A7" s="3">
        <v>45299</v>
      </c>
      <c r="B7" s="9">
        <v>70.58</v>
      </c>
      <c r="C7" s="9">
        <v>84.87</v>
      </c>
      <c r="D7" s="9">
        <v>96.54</v>
      </c>
      <c r="E7" s="9">
        <v>96.94</v>
      </c>
      <c r="F7" s="9">
        <v>102.62</v>
      </c>
    </row>
    <row r="8" spans="1:6" x14ac:dyDescent="0.3">
      <c r="A8" s="2">
        <v>45300</v>
      </c>
      <c r="B8" s="10">
        <v>70.58</v>
      </c>
      <c r="C8" s="10">
        <v>84.87</v>
      </c>
      <c r="D8" s="10">
        <v>96.54</v>
      </c>
      <c r="E8" s="10">
        <v>96.94</v>
      </c>
      <c r="F8" s="10">
        <v>102.62</v>
      </c>
    </row>
    <row r="9" spans="1:6" x14ac:dyDescent="0.3">
      <c r="A9" s="3">
        <v>45301</v>
      </c>
      <c r="B9" s="9">
        <v>70.58</v>
      </c>
      <c r="C9" s="9">
        <v>84.87</v>
      </c>
      <c r="D9" s="9">
        <v>96.54</v>
      </c>
      <c r="E9" s="9">
        <v>96.94</v>
      </c>
      <c r="F9" s="9">
        <v>102.62</v>
      </c>
    </row>
    <row r="10" spans="1:6" x14ac:dyDescent="0.3">
      <c r="A10" s="2">
        <v>45302</v>
      </c>
      <c r="B10" s="10">
        <v>70.58</v>
      </c>
      <c r="C10" s="10">
        <v>84.87</v>
      </c>
      <c r="D10" s="10">
        <v>96.54</v>
      </c>
      <c r="E10" s="10">
        <v>96.94</v>
      </c>
      <c r="F10" s="10">
        <v>102.62</v>
      </c>
    </row>
    <row r="11" spans="1:6" x14ac:dyDescent="0.3">
      <c r="A11" s="3">
        <v>45303</v>
      </c>
      <c r="B11" s="9">
        <v>68.88</v>
      </c>
      <c r="C11" s="9">
        <v>84.49</v>
      </c>
      <c r="D11" s="9">
        <v>94.3</v>
      </c>
      <c r="E11" s="9">
        <v>96.94</v>
      </c>
      <c r="F11" s="9">
        <v>101.8</v>
      </c>
    </row>
    <row r="12" spans="1:6" x14ac:dyDescent="0.3">
      <c r="A12" s="2">
        <v>45306</v>
      </c>
      <c r="B12" s="10">
        <v>68.88</v>
      </c>
      <c r="C12" s="10">
        <v>84.49</v>
      </c>
      <c r="D12" s="10">
        <v>94.3</v>
      </c>
      <c r="E12" s="10">
        <v>96.23</v>
      </c>
      <c r="F12" s="10">
        <v>101.8</v>
      </c>
    </row>
    <row r="13" spans="1:6" x14ac:dyDescent="0.3">
      <c r="A13" s="3">
        <v>45307</v>
      </c>
      <c r="B13" s="9">
        <v>68.88</v>
      </c>
      <c r="C13" s="9">
        <v>84.49</v>
      </c>
      <c r="D13" s="9">
        <v>94.3</v>
      </c>
      <c r="E13" s="9">
        <v>96.23</v>
      </c>
      <c r="F13" s="9">
        <v>101.8</v>
      </c>
    </row>
    <row r="14" spans="1:6" x14ac:dyDescent="0.3">
      <c r="A14" s="2">
        <v>45308</v>
      </c>
      <c r="B14" s="10">
        <v>68.88</v>
      </c>
      <c r="C14" s="10">
        <v>84.49</v>
      </c>
      <c r="D14" s="10">
        <v>94.3</v>
      </c>
      <c r="E14" s="10">
        <v>96.23</v>
      </c>
      <c r="F14" s="10">
        <v>101.8</v>
      </c>
    </row>
    <row r="15" spans="1:6" x14ac:dyDescent="0.3">
      <c r="A15" s="3">
        <v>45309</v>
      </c>
      <c r="B15" s="9">
        <v>68.88</v>
      </c>
      <c r="C15" s="9">
        <v>84.49</v>
      </c>
      <c r="D15" s="9">
        <v>94.3</v>
      </c>
      <c r="E15" s="9">
        <v>96.23</v>
      </c>
      <c r="F15" s="9">
        <v>101.8</v>
      </c>
    </row>
    <row r="16" spans="1:6" x14ac:dyDescent="0.3">
      <c r="A16" s="2">
        <v>45310</v>
      </c>
      <c r="B16" s="10">
        <v>66.819999999999993</v>
      </c>
      <c r="C16" s="10">
        <v>82.68</v>
      </c>
      <c r="D16" s="10">
        <v>92.74</v>
      </c>
      <c r="E16" s="10">
        <v>96.23</v>
      </c>
      <c r="F16" s="10">
        <v>99.5</v>
      </c>
    </row>
    <row r="17" spans="1:6" x14ac:dyDescent="0.3">
      <c r="A17" s="3">
        <v>45313</v>
      </c>
      <c r="B17" s="9">
        <v>66.819999999999993</v>
      </c>
      <c r="C17" s="9">
        <v>82.68</v>
      </c>
      <c r="D17" s="9">
        <v>92.74</v>
      </c>
      <c r="E17" s="9">
        <v>91.04</v>
      </c>
      <c r="F17" s="9">
        <v>99.5</v>
      </c>
    </row>
    <row r="18" spans="1:6" x14ac:dyDescent="0.3">
      <c r="A18" s="2">
        <v>45314</v>
      </c>
      <c r="B18" s="10">
        <v>66.819999999999993</v>
      </c>
      <c r="C18" s="10">
        <v>82.68</v>
      </c>
      <c r="D18" s="10">
        <v>92.74</v>
      </c>
      <c r="E18" s="10">
        <v>91.04</v>
      </c>
      <c r="F18" s="10">
        <v>99.5</v>
      </c>
    </row>
    <row r="19" spans="1:6" x14ac:dyDescent="0.3">
      <c r="A19" s="3">
        <v>45315</v>
      </c>
      <c r="B19" s="9">
        <v>66.819999999999993</v>
      </c>
      <c r="C19" s="9">
        <v>82.68</v>
      </c>
      <c r="D19" s="9">
        <v>92.74</v>
      </c>
      <c r="E19" s="9">
        <v>91.04</v>
      </c>
      <c r="F19" s="9">
        <v>99.5</v>
      </c>
    </row>
    <row r="20" spans="1:6" x14ac:dyDescent="0.3">
      <c r="A20" s="2">
        <v>45316</v>
      </c>
      <c r="B20" s="10">
        <v>66.819999999999993</v>
      </c>
      <c r="C20" s="10">
        <v>82.68</v>
      </c>
      <c r="D20" s="10">
        <v>92.74</v>
      </c>
      <c r="E20" s="10">
        <v>91.04</v>
      </c>
      <c r="F20" s="10">
        <v>99.5</v>
      </c>
    </row>
    <row r="21" spans="1:6" x14ac:dyDescent="0.3">
      <c r="A21" s="3">
        <v>45317</v>
      </c>
      <c r="B21" s="9">
        <v>63.76</v>
      </c>
      <c r="C21" s="9">
        <v>79.22</v>
      </c>
      <c r="D21" s="9">
        <v>89.26</v>
      </c>
      <c r="E21" s="9">
        <v>91.04</v>
      </c>
      <c r="F21" s="9">
        <v>97.7</v>
      </c>
    </row>
    <row r="22" spans="1:6" x14ac:dyDescent="0.3">
      <c r="A22" s="2">
        <v>45320</v>
      </c>
      <c r="B22" s="10">
        <v>63.76</v>
      </c>
      <c r="C22" s="10">
        <v>79.22</v>
      </c>
      <c r="D22" s="10">
        <v>89.26</v>
      </c>
      <c r="E22" s="10">
        <v>90.16</v>
      </c>
      <c r="F22" s="10">
        <v>97.7</v>
      </c>
    </row>
    <row r="23" spans="1:6" x14ac:dyDescent="0.3">
      <c r="A23" s="3">
        <v>45321</v>
      </c>
      <c r="B23" s="9">
        <v>63.76</v>
      </c>
      <c r="C23" s="9">
        <v>79.22</v>
      </c>
      <c r="D23" s="9">
        <v>89.26</v>
      </c>
      <c r="E23" s="9">
        <v>90.16</v>
      </c>
      <c r="F23" s="9">
        <v>97.7</v>
      </c>
    </row>
    <row r="24" spans="1:6" x14ac:dyDescent="0.3">
      <c r="A24" s="2">
        <v>45322</v>
      </c>
      <c r="B24" s="10">
        <v>63.76</v>
      </c>
      <c r="C24" s="10">
        <v>79.22</v>
      </c>
      <c r="D24" s="10">
        <v>89.26</v>
      </c>
      <c r="E24" s="10">
        <v>90.16</v>
      </c>
      <c r="F24" s="10">
        <v>97.7</v>
      </c>
    </row>
    <row r="25" spans="1:6" x14ac:dyDescent="0.3">
      <c r="A25" s="3">
        <v>45323</v>
      </c>
      <c r="B25" s="9">
        <v>63.76</v>
      </c>
      <c r="C25" s="9">
        <v>79.22</v>
      </c>
      <c r="D25" s="9">
        <v>89.26</v>
      </c>
      <c r="E25" s="9">
        <v>90.16</v>
      </c>
      <c r="F25" s="9">
        <v>97.7</v>
      </c>
    </row>
    <row r="26" spans="1:6" x14ac:dyDescent="0.3">
      <c r="A26" s="2">
        <v>45324</v>
      </c>
      <c r="B26" s="10">
        <v>63.95</v>
      </c>
      <c r="C26" s="10">
        <v>78.739999999999995</v>
      </c>
      <c r="D26" s="10">
        <v>88.83</v>
      </c>
      <c r="E26" s="10">
        <v>90.16</v>
      </c>
      <c r="F26" s="10">
        <v>95.42</v>
      </c>
    </row>
    <row r="27" spans="1:6" x14ac:dyDescent="0.3">
      <c r="A27" s="3">
        <v>45327</v>
      </c>
      <c r="B27" s="9">
        <v>63.95</v>
      </c>
      <c r="C27" s="9">
        <v>78.739999999999995</v>
      </c>
      <c r="D27" s="9">
        <v>88.83</v>
      </c>
      <c r="E27" s="9">
        <v>92.22</v>
      </c>
      <c r="F27" s="9">
        <v>95.42</v>
      </c>
    </row>
    <row r="28" spans="1:6" x14ac:dyDescent="0.3">
      <c r="A28" s="2">
        <v>45328</v>
      </c>
      <c r="B28" s="10">
        <v>63.95</v>
      </c>
      <c r="C28" s="10">
        <v>78.739999999999995</v>
      </c>
      <c r="D28" s="10">
        <v>88.83</v>
      </c>
      <c r="E28" s="10">
        <v>92.22</v>
      </c>
      <c r="F28" s="10">
        <v>95.42</v>
      </c>
    </row>
    <row r="29" spans="1:6" x14ac:dyDescent="0.3">
      <c r="A29" s="3">
        <v>45329</v>
      </c>
      <c r="B29" s="9">
        <v>63.95</v>
      </c>
      <c r="C29" s="9">
        <v>78.739999999999995</v>
      </c>
      <c r="D29" s="9">
        <v>88.83</v>
      </c>
      <c r="E29" s="9">
        <v>92.22</v>
      </c>
      <c r="F29" s="9">
        <v>95.42</v>
      </c>
    </row>
    <row r="30" spans="1:6" x14ac:dyDescent="0.3">
      <c r="A30" s="2">
        <v>45330</v>
      </c>
      <c r="B30" s="10">
        <v>63.95</v>
      </c>
      <c r="C30" s="10">
        <v>78.739999999999995</v>
      </c>
      <c r="D30" s="10">
        <v>88.83</v>
      </c>
      <c r="E30" s="10">
        <v>92.22</v>
      </c>
      <c r="F30" s="10">
        <v>95.42</v>
      </c>
    </row>
    <row r="31" spans="1:6" x14ac:dyDescent="0.3">
      <c r="A31" s="3">
        <v>45331</v>
      </c>
      <c r="B31" s="9">
        <v>65.8</v>
      </c>
      <c r="C31" s="9">
        <v>81.73</v>
      </c>
      <c r="D31" s="9">
        <v>91</v>
      </c>
      <c r="E31" s="9">
        <v>92.22</v>
      </c>
      <c r="F31" s="9">
        <v>96.54</v>
      </c>
    </row>
    <row r="32" spans="1:6" x14ac:dyDescent="0.3">
      <c r="A32" s="2">
        <v>45334</v>
      </c>
      <c r="B32" s="10">
        <v>65.8</v>
      </c>
      <c r="C32" s="10">
        <v>81.73</v>
      </c>
      <c r="D32" s="10">
        <v>91</v>
      </c>
      <c r="E32" s="10">
        <v>92.87</v>
      </c>
      <c r="F32" s="10">
        <v>96.54</v>
      </c>
    </row>
    <row r="33" spans="1:6" x14ac:dyDescent="0.3">
      <c r="A33" s="3">
        <v>45335</v>
      </c>
      <c r="B33" s="9">
        <v>65.8</v>
      </c>
      <c r="C33" s="9">
        <v>81.73</v>
      </c>
      <c r="D33" s="9">
        <v>91</v>
      </c>
      <c r="E33" s="9">
        <v>92.87</v>
      </c>
      <c r="F33" s="9">
        <v>96.54</v>
      </c>
    </row>
    <row r="34" spans="1:6" x14ac:dyDescent="0.3">
      <c r="A34" s="2">
        <v>45336</v>
      </c>
      <c r="B34" s="10">
        <v>65.8</v>
      </c>
      <c r="C34" s="10">
        <v>81.73</v>
      </c>
      <c r="D34" s="10">
        <v>91</v>
      </c>
      <c r="E34" s="10">
        <v>92.87</v>
      </c>
      <c r="F34" s="10">
        <v>96.54</v>
      </c>
    </row>
    <row r="35" spans="1:6" x14ac:dyDescent="0.3">
      <c r="A35" s="3">
        <v>45337</v>
      </c>
      <c r="B35" s="9">
        <v>65.8</v>
      </c>
      <c r="C35" s="9">
        <v>81.73</v>
      </c>
      <c r="D35" s="9">
        <v>91</v>
      </c>
      <c r="E35" s="9">
        <v>92.87</v>
      </c>
      <c r="F35" s="9">
        <v>96.54</v>
      </c>
    </row>
    <row r="36" spans="1:6" x14ac:dyDescent="0.3">
      <c r="A36" s="2">
        <v>45338</v>
      </c>
      <c r="B36" s="10">
        <v>65.88</v>
      </c>
      <c r="C36" s="10">
        <v>82.04</v>
      </c>
      <c r="D36" s="10">
        <v>90.98</v>
      </c>
      <c r="E36" s="10">
        <v>92.87</v>
      </c>
      <c r="F36" s="10">
        <v>96.79</v>
      </c>
    </row>
    <row r="37" spans="1:6" x14ac:dyDescent="0.3">
      <c r="A37" s="3">
        <v>45341</v>
      </c>
      <c r="B37" s="9">
        <v>65.88</v>
      </c>
      <c r="C37" s="9">
        <v>82.04</v>
      </c>
      <c r="D37" s="9">
        <v>90.98</v>
      </c>
      <c r="E37" s="9">
        <v>93.15</v>
      </c>
      <c r="F37" s="9">
        <v>96.79</v>
      </c>
    </row>
    <row r="38" spans="1:6" x14ac:dyDescent="0.3">
      <c r="A38" s="2">
        <v>45342</v>
      </c>
      <c r="B38" s="10">
        <v>65.88</v>
      </c>
      <c r="C38" s="10">
        <v>82.04</v>
      </c>
      <c r="D38" s="10">
        <v>90.98</v>
      </c>
      <c r="E38" s="10">
        <v>93.15</v>
      </c>
      <c r="F38" s="10">
        <v>96.79</v>
      </c>
    </row>
    <row r="39" spans="1:6" x14ac:dyDescent="0.3">
      <c r="A39" s="3">
        <v>45343</v>
      </c>
      <c r="B39" s="9">
        <v>65.88</v>
      </c>
      <c r="C39" s="9">
        <v>82.04</v>
      </c>
      <c r="D39" s="9">
        <v>90.98</v>
      </c>
      <c r="E39" s="9">
        <v>93.15</v>
      </c>
      <c r="F39" s="9">
        <v>96.79</v>
      </c>
    </row>
    <row r="40" spans="1:6" x14ac:dyDescent="0.3">
      <c r="A40" s="2">
        <v>45344</v>
      </c>
      <c r="B40" s="10">
        <v>65.88</v>
      </c>
      <c r="C40" s="10">
        <v>82.04</v>
      </c>
      <c r="D40" s="10">
        <v>90.98</v>
      </c>
      <c r="E40" s="10">
        <v>93.15</v>
      </c>
      <c r="F40" s="10">
        <v>96.79</v>
      </c>
    </row>
    <row r="41" spans="1:6" x14ac:dyDescent="0.3">
      <c r="A41" s="3">
        <v>45345</v>
      </c>
      <c r="B41" s="9">
        <v>66.13</v>
      </c>
      <c r="C41" s="9">
        <v>82.13</v>
      </c>
      <c r="D41" s="9">
        <v>91.23</v>
      </c>
      <c r="E41" s="9">
        <v>93.15</v>
      </c>
      <c r="F41" s="9">
        <v>97.82</v>
      </c>
    </row>
    <row r="42" spans="1:6" x14ac:dyDescent="0.3">
      <c r="A42" s="2">
        <v>45348</v>
      </c>
      <c r="B42" s="10">
        <v>66.13</v>
      </c>
      <c r="C42" s="10">
        <v>82.13</v>
      </c>
      <c r="D42" s="10">
        <v>91.23</v>
      </c>
      <c r="E42" s="10">
        <v>92.42</v>
      </c>
      <c r="F42" s="10">
        <v>97.82</v>
      </c>
    </row>
    <row r="43" spans="1:6" x14ac:dyDescent="0.3">
      <c r="A43" s="3">
        <v>45349</v>
      </c>
      <c r="B43" s="9">
        <v>66.13</v>
      </c>
      <c r="C43" s="9">
        <v>82.13</v>
      </c>
      <c r="D43" s="9">
        <v>91.23</v>
      </c>
      <c r="E43" s="9">
        <v>92.42</v>
      </c>
      <c r="F43" s="9">
        <v>97.82</v>
      </c>
    </row>
    <row r="44" spans="1:6" x14ac:dyDescent="0.3">
      <c r="A44" s="2">
        <v>45350</v>
      </c>
      <c r="B44" s="10">
        <v>66.13</v>
      </c>
      <c r="C44" s="10">
        <v>82.13</v>
      </c>
      <c r="D44" s="10">
        <v>91.23</v>
      </c>
      <c r="E44" s="10">
        <v>92.42</v>
      </c>
      <c r="F44" s="10">
        <v>97.82</v>
      </c>
    </row>
    <row r="45" spans="1:6" x14ac:dyDescent="0.3">
      <c r="A45" s="3">
        <v>45351</v>
      </c>
      <c r="B45" s="9">
        <v>66.13</v>
      </c>
      <c r="C45" s="9">
        <v>82.13</v>
      </c>
      <c r="D45" s="9">
        <v>91.23</v>
      </c>
      <c r="E45" s="9">
        <v>92.42</v>
      </c>
      <c r="F45" s="9">
        <v>97.82</v>
      </c>
    </row>
    <row r="46" spans="1:6" x14ac:dyDescent="0.3">
      <c r="A46" s="2">
        <v>45352</v>
      </c>
      <c r="B46" s="10">
        <v>69.47</v>
      </c>
      <c r="C46" s="10">
        <v>85.62</v>
      </c>
      <c r="D46" s="10">
        <v>95.38</v>
      </c>
      <c r="E46" s="10">
        <v>92.42</v>
      </c>
      <c r="F46" s="10">
        <v>101.32</v>
      </c>
    </row>
    <row r="47" spans="1:6" x14ac:dyDescent="0.3">
      <c r="A47" s="3">
        <v>45355</v>
      </c>
      <c r="B47" s="9">
        <v>69.47</v>
      </c>
      <c r="C47" s="9">
        <v>85.62</v>
      </c>
      <c r="D47" s="9">
        <v>95.38</v>
      </c>
      <c r="E47" s="9">
        <v>94.9</v>
      </c>
      <c r="F47" s="9">
        <v>101.32</v>
      </c>
    </row>
    <row r="48" spans="1:6" x14ac:dyDescent="0.3">
      <c r="A48" s="2">
        <v>45356</v>
      </c>
      <c r="B48" s="10">
        <v>69.47</v>
      </c>
      <c r="C48" s="10">
        <v>85.62</v>
      </c>
      <c r="D48" s="10">
        <v>95.38</v>
      </c>
      <c r="E48" s="10">
        <v>94.9</v>
      </c>
      <c r="F48" s="10">
        <v>101.32</v>
      </c>
    </row>
    <row r="49" spans="1:6" x14ac:dyDescent="0.3">
      <c r="A49" s="3">
        <v>45357</v>
      </c>
      <c r="B49" s="9">
        <v>69.47</v>
      </c>
      <c r="C49" s="9">
        <v>85.62</v>
      </c>
      <c r="D49" s="9">
        <v>95.38</v>
      </c>
      <c r="E49" s="9">
        <v>94.9</v>
      </c>
      <c r="F49" s="9">
        <v>101.32</v>
      </c>
    </row>
    <row r="50" spans="1:6" x14ac:dyDescent="0.3">
      <c r="A50" s="2">
        <v>45358</v>
      </c>
      <c r="B50" s="10">
        <v>69.47</v>
      </c>
      <c r="C50" s="10">
        <v>85.62</v>
      </c>
      <c r="D50" s="10">
        <v>95.38</v>
      </c>
      <c r="E50" s="10">
        <v>94.9</v>
      </c>
      <c r="F50" s="10">
        <v>101.32</v>
      </c>
    </row>
    <row r="51" spans="1:6" x14ac:dyDescent="0.3">
      <c r="A51" s="3">
        <v>45359</v>
      </c>
      <c r="B51" s="9">
        <v>72.42</v>
      </c>
      <c r="C51" s="9">
        <v>90.49</v>
      </c>
      <c r="D51" s="9">
        <v>101.98</v>
      </c>
      <c r="E51" s="9">
        <v>94.9</v>
      </c>
      <c r="F51" s="9">
        <v>106.86</v>
      </c>
    </row>
    <row r="52" spans="1:6" x14ac:dyDescent="0.3">
      <c r="A52" s="2">
        <v>45362</v>
      </c>
      <c r="B52" s="10">
        <v>72.42</v>
      </c>
      <c r="C52" s="10">
        <v>90.49</v>
      </c>
      <c r="D52" s="10">
        <v>101.98</v>
      </c>
      <c r="E52" s="10">
        <v>97.24</v>
      </c>
      <c r="F52" s="10">
        <v>106.86</v>
      </c>
    </row>
    <row r="53" spans="1:6" x14ac:dyDescent="0.3">
      <c r="A53" s="3">
        <v>45363</v>
      </c>
      <c r="B53" s="9">
        <v>72.42</v>
      </c>
      <c r="C53" s="9">
        <v>90.49</v>
      </c>
      <c r="D53" s="9">
        <v>101.98</v>
      </c>
      <c r="E53" s="9">
        <v>97.24</v>
      </c>
      <c r="F53" s="9">
        <v>106.86</v>
      </c>
    </row>
    <row r="54" spans="1:6" x14ac:dyDescent="0.3">
      <c r="A54" s="2">
        <v>45364</v>
      </c>
      <c r="B54" s="10">
        <v>72.42</v>
      </c>
      <c r="C54" s="10">
        <v>90.49</v>
      </c>
      <c r="D54" s="10">
        <v>101.98</v>
      </c>
      <c r="E54" s="10">
        <v>97.24</v>
      </c>
      <c r="F54" s="10">
        <v>106.86</v>
      </c>
    </row>
    <row r="55" spans="1:6" x14ac:dyDescent="0.3">
      <c r="A55" s="3">
        <v>45365</v>
      </c>
      <c r="B55" s="9">
        <v>72.42</v>
      </c>
      <c r="C55" s="9">
        <v>90.49</v>
      </c>
      <c r="D55" s="9">
        <v>101.98</v>
      </c>
      <c r="E55" s="9">
        <v>97.24</v>
      </c>
      <c r="F55" s="9">
        <v>106.86</v>
      </c>
    </row>
    <row r="56" spans="1:6" x14ac:dyDescent="0.3">
      <c r="A56" s="2">
        <v>45366</v>
      </c>
      <c r="B56" s="10">
        <v>70.930000000000007</v>
      </c>
      <c r="C56" s="10">
        <v>89.59</v>
      </c>
      <c r="D56" s="10">
        <v>99.84</v>
      </c>
      <c r="E56" s="10">
        <v>97.24</v>
      </c>
      <c r="F56" s="10">
        <v>107.45</v>
      </c>
    </row>
    <row r="57" spans="1:6" x14ac:dyDescent="0.3">
      <c r="A57" s="3">
        <v>45369</v>
      </c>
      <c r="B57" s="9">
        <v>70.930000000000007</v>
      </c>
      <c r="C57" s="9">
        <v>89.59</v>
      </c>
      <c r="D57" s="9">
        <v>99.84</v>
      </c>
      <c r="E57" s="9">
        <v>100.64</v>
      </c>
      <c r="F57" s="9">
        <v>107.45</v>
      </c>
    </row>
    <row r="58" spans="1:6" x14ac:dyDescent="0.3">
      <c r="A58" s="2">
        <v>45370</v>
      </c>
      <c r="B58" s="10">
        <v>70.930000000000007</v>
      </c>
      <c r="C58" s="10">
        <v>89.59</v>
      </c>
      <c r="D58" s="10">
        <v>99.84</v>
      </c>
      <c r="E58" s="10">
        <v>100.64</v>
      </c>
      <c r="F58" s="10">
        <v>107.45</v>
      </c>
    </row>
    <row r="59" spans="1:6" x14ac:dyDescent="0.3">
      <c r="A59" s="3">
        <v>45371</v>
      </c>
      <c r="B59" s="9">
        <v>70.930000000000007</v>
      </c>
      <c r="C59" s="9">
        <v>89.59</v>
      </c>
      <c r="D59" s="9">
        <v>99.84</v>
      </c>
      <c r="E59" s="9">
        <v>100.64</v>
      </c>
      <c r="F59" s="9">
        <v>107.45</v>
      </c>
    </row>
    <row r="60" spans="1:6" x14ac:dyDescent="0.3">
      <c r="A60" s="2">
        <v>45372</v>
      </c>
      <c r="B60" s="10">
        <v>70.930000000000007</v>
      </c>
      <c r="C60" s="10">
        <v>89.59</v>
      </c>
      <c r="D60" s="10">
        <v>99.84</v>
      </c>
      <c r="E60" s="10">
        <v>100.64</v>
      </c>
      <c r="F60" s="10">
        <v>107.45</v>
      </c>
    </row>
    <row r="61" spans="1:6" x14ac:dyDescent="0.3">
      <c r="A61" s="3">
        <v>45373</v>
      </c>
      <c r="B61" s="9">
        <v>70.16</v>
      </c>
      <c r="C61" s="9">
        <v>89.59</v>
      </c>
      <c r="D61" s="9">
        <v>99.51</v>
      </c>
      <c r="E61" s="9">
        <v>100.91</v>
      </c>
      <c r="F61" s="9">
        <v>105.39</v>
      </c>
    </row>
    <row r="62" spans="1:6" x14ac:dyDescent="0.3">
      <c r="A62" s="2">
        <v>45376</v>
      </c>
      <c r="B62" s="10">
        <v>70.16</v>
      </c>
      <c r="C62" s="10">
        <v>89.59</v>
      </c>
      <c r="D62" s="10">
        <v>99.51</v>
      </c>
      <c r="E62" s="10">
        <v>100.91</v>
      </c>
      <c r="F62" s="10">
        <v>105.39</v>
      </c>
    </row>
    <row r="63" spans="1:6" x14ac:dyDescent="0.3">
      <c r="A63" s="3">
        <v>45377</v>
      </c>
      <c r="B63" s="9">
        <v>70.16</v>
      </c>
      <c r="C63" s="9">
        <v>89.59</v>
      </c>
      <c r="D63" s="9">
        <v>99.51</v>
      </c>
      <c r="E63" s="9">
        <v>100.91</v>
      </c>
      <c r="F63" s="9">
        <v>105.39</v>
      </c>
    </row>
    <row r="64" spans="1:6" x14ac:dyDescent="0.3">
      <c r="A64" s="2">
        <v>45378</v>
      </c>
      <c r="B64" s="10">
        <v>70.16</v>
      </c>
      <c r="C64" s="10">
        <v>89.59</v>
      </c>
      <c r="D64" s="10">
        <v>99.51</v>
      </c>
      <c r="E64" s="10">
        <v>100.91</v>
      </c>
      <c r="F64" s="10">
        <v>105.39</v>
      </c>
    </row>
    <row r="65" spans="1:6" x14ac:dyDescent="0.3">
      <c r="A65" s="3">
        <v>45379</v>
      </c>
      <c r="B65" s="9">
        <v>73.17</v>
      </c>
      <c r="C65" s="9">
        <v>91.01</v>
      </c>
      <c r="D65" s="9">
        <v>102.58</v>
      </c>
      <c r="E65" s="9">
        <v>100.91</v>
      </c>
      <c r="F65" s="9">
        <v>105.67</v>
      </c>
    </row>
    <row r="66" spans="1:6" x14ac:dyDescent="0.3">
      <c r="A66" s="2">
        <v>45383</v>
      </c>
      <c r="B66" s="11"/>
      <c r="C66" s="11"/>
      <c r="D66" s="11"/>
      <c r="E66" s="11"/>
      <c r="F66" s="11"/>
    </row>
    <row r="67" spans="1:6" x14ac:dyDescent="0.3">
      <c r="A67" s="3">
        <v>45384</v>
      </c>
      <c r="B67" s="9">
        <v>73.17</v>
      </c>
      <c r="C67" s="9">
        <v>91.01</v>
      </c>
      <c r="D67" s="9">
        <v>102.58</v>
      </c>
      <c r="E67" s="9">
        <v>102.51</v>
      </c>
      <c r="F67" s="9">
        <v>105.67</v>
      </c>
    </row>
    <row r="68" spans="1:6" x14ac:dyDescent="0.3">
      <c r="A68" s="2">
        <v>45385</v>
      </c>
      <c r="B68" s="10">
        <v>73.17</v>
      </c>
      <c r="C68" s="10">
        <v>91.01</v>
      </c>
      <c r="D68" s="10">
        <v>102.58</v>
      </c>
      <c r="E68" s="10">
        <v>102.51</v>
      </c>
      <c r="F68" s="10">
        <v>105.67</v>
      </c>
    </row>
    <row r="69" spans="1:6" x14ac:dyDescent="0.3">
      <c r="A69" s="3">
        <v>45386</v>
      </c>
      <c r="B69" s="9">
        <v>73.17</v>
      </c>
      <c r="C69" s="9">
        <v>91.01</v>
      </c>
      <c r="D69" s="9">
        <v>102.58</v>
      </c>
      <c r="E69" s="9">
        <v>102.51</v>
      </c>
      <c r="F69" s="9">
        <v>105.67</v>
      </c>
    </row>
    <row r="70" spans="1:6" x14ac:dyDescent="0.3">
      <c r="A70" s="2">
        <v>45387</v>
      </c>
      <c r="B70" s="10">
        <v>75.430000000000007</v>
      </c>
      <c r="C70" s="10">
        <v>93</v>
      </c>
      <c r="D70" s="10">
        <v>103.63</v>
      </c>
      <c r="E70" s="10">
        <v>102.51</v>
      </c>
      <c r="F70" s="10">
        <v>105.16</v>
      </c>
    </row>
    <row r="71" spans="1:6" x14ac:dyDescent="0.3">
      <c r="A71" s="3">
        <v>45390</v>
      </c>
      <c r="B71" s="9">
        <v>75.430000000000007</v>
      </c>
      <c r="C71" s="9">
        <v>93</v>
      </c>
      <c r="D71" s="9">
        <v>103.63</v>
      </c>
      <c r="E71" s="9">
        <v>106.93</v>
      </c>
      <c r="F71" s="9">
        <v>105.16</v>
      </c>
    </row>
    <row r="72" spans="1:6" x14ac:dyDescent="0.3">
      <c r="A72" s="2">
        <v>45391</v>
      </c>
      <c r="B72" s="10">
        <v>75.430000000000007</v>
      </c>
      <c r="C72" s="10">
        <v>93</v>
      </c>
      <c r="D72" s="10">
        <v>103.63</v>
      </c>
      <c r="E72" s="10">
        <v>106.93</v>
      </c>
      <c r="F72" s="10">
        <v>105.16</v>
      </c>
    </row>
    <row r="73" spans="1:6" x14ac:dyDescent="0.3">
      <c r="A73" s="3">
        <v>45392</v>
      </c>
      <c r="B73" s="9">
        <v>75.430000000000007</v>
      </c>
      <c r="C73" s="9">
        <v>93</v>
      </c>
      <c r="D73" s="9">
        <v>103.63</v>
      </c>
      <c r="E73" s="9">
        <v>106.93</v>
      </c>
      <c r="F73" s="9">
        <v>105.16</v>
      </c>
    </row>
    <row r="74" spans="1:6" x14ac:dyDescent="0.3">
      <c r="A74" s="2">
        <v>45393</v>
      </c>
      <c r="B74" s="10">
        <v>75.430000000000007</v>
      </c>
      <c r="C74" s="10">
        <v>93</v>
      </c>
      <c r="D74" s="10">
        <v>103.63</v>
      </c>
      <c r="E74" s="10">
        <v>106.93</v>
      </c>
      <c r="F74" s="10">
        <v>105.16</v>
      </c>
    </row>
    <row r="75" spans="1:6" x14ac:dyDescent="0.3">
      <c r="A75" s="3">
        <v>45394</v>
      </c>
      <c r="B75" s="9">
        <v>72.41</v>
      </c>
      <c r="C75" s="9">
        <v>92.75</v>
      </c>
      <c r="D75" s="9">
        <v>104.42</v>
      </c>
      <c r="E75" s="9">
        <v>106.93</v>
      </c>
      <c r="F75" s="9">
        <v>106.36</v>
      </c>
    </row>
    <row r="76" spans="1:6" x14ac:dyDescent="0.3">
      <c r="A76" s="2">
        <v>45397</v>
      </c>
      <c r="B76" s="10">
        <v>72.41</v>
      </c>
      <c r="C76" s="10">
        <v>92.75</v>
      </c>
      <c r="D76" s="10">
        <v>104.42</v>
      </c>
      <c r="E76" s="10">
        <v>110.95</v>
      </c>
      <c r="F76" s="10">
        <v>106.36</v>
      </c>
    </row>
    <row r="77" spans="1:6" x14ac:dyDescent="0.3">
      <c r="A77" s="3">
        <v>45398</v>
      </c>
      <c r="B77" s="9">
        <v>72.41</v>
      </c>
      <c r="C77" s="9">
        <v>92.75</v>
      </c>
      <c r="D77" s="9">
        <v>104.42</v>
      </c>
      <c r="E77" s="9">
        <v>110.95</v>
      </c>
      <c r="F77" s="9">
        <v>106.36</v>
      </c>
    </row>
    <row r="78" spans="1:6" x14ac:dyDescent="0.3">
      <c r="A78" s="2">
        <v>45399</v>
      </c>
      <c r="B78" s="10">
        <v>72.41</v>
      </c>
      <c r="C78" s="10">
        <v>92.75</v>
      </c>
      <c r="D78" s="10">
        <v>104.42</v>
      </c>
      <c r="E78" s="10">
        <v>110.95</v>
      </c>
      <c r="F78" s="10">
        <v>106.36</v>
      </c>
    </row>
    <row r="79" spans="1:6" x14ac:dyDescent="0.3">
      <c r="A79" s="3">
        <v>45400</v>
      </c>
      <c r="B79" s="9">
        <v>72.41</v>
      </c>
      <c r="C79" s="9">
        <v>92.75</v>
      </c>
      <c r="D79" s="9">
        <v>104.42</v>
      </c>
      <c r="E79" s="9">
        <v>110.95</v>
      </c>
      <c r="F79" s="9">
        <v>106.36</v>
      </c>
    </row>
    <row r="80" spans="1:6" x14ac:dyDescent="0.3">
      <c r="A80" s="2">
        <v>45401</v>
      </c>
      <c r="B80" s="10">
        <v>75.709999999999994</v>
      </c>
      <c r="C80" s="10">
        <v>95.8</v>
      </c>
      <c r="D80" s="10">
        <v>108.91</v>
      </c>
      <c r="E80" s="10">
        <v>110.95</v>
      </c>
      <c r="F80" s="10">
        <v>108.06</v>
      </c>
    </row>
    <row r="81" spans="1:6" x14ac:dyDescent="0.3">
      <c r="A81" s="3">
        <v>45404</v>
      </c>
      <c r="B81" s="9">
        <v>75.709999999999994</v>
      </c>
      <c r="C81" s="9">
        <v>95.8</v>
      </c>
      <c r="D81" s="9">
        <v>108.91</v>
      </c>
      <c r="E81" s="9">
        <v>106.69</v>
      </c>
      <c r="F81" s="9">
        <v>108.06</v>
      </c>
    </row>
    <row r="82" spans="1:6" x14ac:dyDescent="0.3">
      <c r="A82" s="2">
        <v>45405</v>
      </c>
      <c r="B82" s="10">
        <v>75.709999999999994</v>
      </c>
      <c r="C82" s="10">
        <v>95.8</v>
      </c>
      <c r="D82" s="10">
        <v>108.91</v>
      </c>
      <c r="E82" s="10">
        <v>106.69</v>
      </c>
      <c r="F82" s="10">
        <v>108.06</v>
      </c>
    </row>
    <row r="83" spans="1:6" x14ac:dyDescent="0.3">
      <c r="A83" s="3">
        <v>45406</v>
      </c>
      <c r="B83" s="9">
        <v>75.709999999999994</v>
      </c>
      <c r="C83" s="9">
        <v>95.8</v>
      </c>
      <c r="D83" s="9">
        <v>108.91</v>
      </c>
      <c r="E83" s="9">
        <v>106.69</v>
      </c>
      <c r="F83" s="9">
        <v>108.06</v>
      </c>
    </row>
    <row r="84" spans="1:6" x14ac:dyDescent="0.3">
      <c r="A84" s="2">
        <v>45407</v>
      </c>
      <c r="B84" s="10">
        <v>75.709999999999994</v>
      </c>
      <c r="C84" s="10">
        <v>95.8</v>
      </c>
      <c r="D84" s="10">
        <v>108.91</v>
      </c>
      <c r="E84" s="10">
        <v>106.69</v>
      </c>
      <c r="F84" s="10">
        <v>108.06</v>
      </c>
    </row>
    <row r="85" spans="1:6" x14ac:dyDescent="0.3">
      <c r="A85" s="3">
        <v>45408</v>
      </c>
      <c r="B85" s="9">
        <v>71.77</v>
      </c>
      <c r="C85" s="9">
        <v>91.31</v>
      </c>
      <c r="D85" s="9">
        <v>103.78</v>
      </c>
      <c r="E85" s="9">
        <v>106.69</v>
      </c>
      <c r="F85" s="9">
        <v>107.74</v>
      </c>
    </row>
    <row r="86" spans="1:6" x14ac:dyDescent="0.3">
      <c r="A86" s="2">
        <v>45411</v>
      </c>
      <c r="B86" s="10">
        <v>71.77</v>
      </c>
      <c r="C86" s="10">
        <v>91.31</v>
      </c>
      <c r="D86" s="10">
        <v>103.78</v>
      </c>
      <c r="E86" s="10">
        <v>103.58</v>
      </c>
      <c r="F86" s="10">
        <v>107.74</v>
      </c>
    </row>
    <row r="87" spans="1:6" x14ac:dyDescent="0.3">
      <c r="A87" s="3">
        <v>45412</v>
      </c>
      <c r="B87" s="9">
        <v>71.77</v>
      </c>
      <c r="C87" s="9">
        <v>91.31</v>
      </c>
      <c r="D87" s="9">
        <v>103.78</v>
      </c>
      <c r="E87" s="9">
        <v>103.58</v>
      </c>
      <c r="F87" s="9">
        <v>107.74</v>
      </c>
    </row>
    <row r="88" spans="1:6" x14ac:dyDescent="0.3">
      <c r="A88" s="2">
        <v>45413</v>
      </c>
      <c r="B88" s="10">
        <v>71.77</v>
      </c>
      <c r="C88" s="10">
        <v>91.31</v>
      </c>
      <c r="D88" s="10">
        <v>103.78</v>
      </c>
      <c r="E88" s="10">
        <v>103.58</v>
      </c>
      <c r="F88" s="10">
        <v>107.74</v>
      </c>
    </row>
    <row r="89" spans="1:6" x14ac:dyDescent="0.3">
      <c r="A89" s="3">
        <v>45414</v>
      </c>
      <c r="B89" s="9">
        <v>71.77</v>
      </c>
      <c r="C89" s="9">
        <v>91.31</v>
      </c>
      <c r="D89" s="9">
        <v>103.78</v>
      </c>
      <c r="E89" s="9">
        <v>103.58</v>
      </c>
      <c r="F89" s="9">
        <v>107.74</v>
      </c>
    </row>
    <row r="90" spans="1:6" x14ac:dyDescent="0.3">
      <c r="A90" s="2">
        <v>45415</v>
      </c>
      <c r="B90" s="10">
        <v>71.540000000000006</v>
      </c>
      <c r="C90" s="10">
        <v>91.37</v>
      </c>
      <c r="D90" s="10">
        <v>102.73</v>
      </c>
      <c r="E90" s="10">
        <v>106.02</v>
      </c>
      <c r="F90" s="10">
        <v>107.08</v>
      </c>
    </row>
    <row r="91" spans="1:6" x14ac:dyDescent="0.3">
      <c r="A91" s="3">
        <v>45419</v>
      </c>
      <c r="B91" s="9">
        <v>71.540000000000006</v>
      </c>
      <c r="C91" s="9">
        <v>91.37</v>
      </c>
      <c r="D91" s="9">
        <v>102.73</v>
      </c>
      <c r="E91" s="9">
        <v>106.02</v>
      </c>
      <c r="F91" s="9">
        <v>107.08</v>
      </c>
    </row>
    <row r="92" spans="1:6" x14ac:dyDescent="0.3">
      <c r="A92" s="2">
        <v>45420</v>
      </c>
      <c r="B92" s="10">
        <v>71.540000000000006</v>
      </c>
      <c r="C92" s="10">
        <v>91.37</v>
      </c>
      <c r="D92" s="10">
        <v>102.73</v>
      </c>
      <c r="E92" s="10">
        <v>106.02</v>
      </c>
      <c r="F92" s="10">
        <v>107.08</v>
      </c>
    </row>
    <row r="93" spans="1:6" x14ac:dyDescent="0.3">
      <c r="A93" s="3">
        <v>45421</v>
      </c>
      <c r="B93" s="9">
        <v>71.540000000000006</v>
      </c>
      <c r="C93" s="9">
        <v>91.37</v>
      </c>
      <c r="D93" s="9">
        <v>102.73</v>
      </c>
      <c r="E93" s="9">
        <v>106.02</v>
      </c>
      <c r="F93" s="9">
        <v>107.08</v>
      </c>
    </row>
    <row r="94" spans="1:6" x14ac:dyDescent="0.3">
      <c r="A94" s="2">
        <v>45422</v>
      </c>
      <c r="B94" s="10">
        <v>72.05</v>
      </c>
      <c r="C94" s="10">
        <v>92.93</v>
      </c>
      <c r="D94" s="10">
        <v>104.89</v>
      </c>
      <c r="E94" s="10">
        <v>106.02</v>
      </c>
      <c r="F94" s="10">
        <v>108.05</v>
      </c>
    </row>
    <row r="95" spans="1:6" x14ac:dyDescent="0.3">
      <c r="A95" s="3">
        <v>45425</v>
      </c>
      <c r="B95" s="9">
        <v>72.05</v>
      </c>
      <c r="C95" s="9">
        <v>92.93</v>
      </c>
      <c r="D95" s="9">
        <v>104.89</v>
      </c>
      <c r="E95" s="9">
        <v>106.05</v>
      </c>
      <c r="F95" s="9">
        <v>108.05</v>
      </c>
    </row>
    <row r="96" spans="1:6" x14ac:dyDescent="0.3">
      <c r="A96" s="2">
        <v>45426</v>
      </c>
      <c r="B96" s="10">
        <v>72.05</v>
      </c>
      <c r="C96" s="10">
        <v>92.93</v>
      </c>
      <c r="D96" s="10">
        <v>104.89</v>
      </c>
      <c r="E96" s="10">
        <v>106.05</v>
      </c>
      <c r="F96" s="10">
        <v>108.05</v>
      </c>
    </row>
    <row r="97" spans="1:6" x14ac:dyDescent="0.3">
      <c r="A97" s="3">
        <v>45427</v>
      </c>
      <c r="B97" s="9">
        <v>72.05</v>
      </c>
      <c r="C97" s="9">
        <v>92.93</v>
      </c>
      <c r="D97" s="9">
        <v>104.89</v>
      </c>
      <c r="E97" s="9">
        <v>106.05</v>
      </c>
      <c r="F97" s="9">
        <v>108.05</v>
      </c>
    </row>
    <row r="98" spans="1:6" x14ac:dyDescent="0.3">
      <c r="A98" s="2">
        <v>45428</v>
      </c>
      <c r="B98" s="10">
        <v>72.05</v>
      </c>
      <c r="C98" s="10">
        <v>92.93</v>
      </c>
      <c r="D98" s="10">
        <v>104.89</v>
      </c>
      <c r="E98" s="10">
        <v>106.05</v>
      </c>
      <c r="F98" s="10">
        <v>108.05</v>
      </c>
    </row>
    <row r="99" spans="1:6" x14ac:dyDescent="0.3">
      <c r="A99" s="3">
        <v>45429</v>
      </c>
      <c r="B99" s="9">
        <v>71.86</v>
      </c>
      <c r="C99" s="9">
        <v>92.39</v>
      </c>
      <c r="D99" s="9">
        <v>103.69</v>
      </c>
      <c r="E99" s="9">
        <v>106.05</v>
      </c>
      <c r="F99" s="9">
        <v>108.7</v>
      </c>
    </row>
    <row r="100" spans="1:6" x14ac:dyDescent="0.3">
      <c r="A100" s="2">
        <v>45432</v>
      </c>
      <c r="B100" s="10">
        <v>71.86</v>
      </c>
      <c r="C100" s="10">
        <v>92.39</v>
      </c>
      <c r="D100" s="10">
        <v>103.69</v>
      </c>
      <c r="E100" s="10">
        <v>110.38</v>
      </c>
      <c r="F100" s="10">
        <v>108.7</v>
      </c>
    </row>
    <row r="101" spans="1:6" x14ac:dyDescent="0.3">
      <c r="A101" s="3">
        <v>45433</v>
      </c>
      <c r="B101" s="9">
        <v>71.86</v>
      </c>
      <c r="C101" s="9">
        <v>92.39</v>
      </c>
      <c r="D101" s="9">
        <v>103.69</v>
      </c>
      <c r="E101" s="9">
        <v>110.38</v>
      </c>
      <c r="F101" s="9">
        <v>108.7</v>
      </c>
    </row>
    <row r="102" spans="1:6" x14ac:dyDescent="0.3">
      <c r="A102" s="2">
        <v>45434</v>
      </c>
      <c r="B102" s="10">
        <v>71.86</v>
      </c>
      <c r="C102" s="10">
        <v>92.39</v>
      </c>
      <c r="D102" s="10">
        <v>103.69</v>
      </c>
      <c r="E102" s="10">
        <v>110.38</v>
      </c>
      <c r="F102" s="10">
        <v>108.7</v>
      </c>
    </row>
    <row r="103" spans="1:6" x14ac:dyDescent="0.3">
      <c r="A103" s="3">
        <v>45435</v>
      </c>
      <c r="B103" s="9">
        <v>71.86</v>
      </c>
      <c r="C103" s="9">
        <v>92.39</v>
      </c>
      <c r="D103" s="9">
        <v>103.69</v>
      </c>
      <c r="E103" s="9">
        <v>110.38</v>
      </c>
      <c r="F103" s="9">
        <v>108.7</v>
      </c>
    </row>
    <row r="104" spans="1:6" x14ac:dyDescent="0.3">
      <c r="A104" s="2">
        <v>45436</v>
      </c>
      <c r="B104" s="10">
        <v>74.87</v>
      </c>
      <c r="C104" s="10">
        <v>95.36</v>
      </c>
      <c r="D104" s="10">
        <v>107.11</v>
      </c>
      <c r="E104" s="10">
        <v>111.35</v>
      </c>
      <c r="F104" s="10">
        <v>111.29</v>
      </c>
    </row>
    <row r="105" spans="1:6" x14ac:dyDescent="0.3">
      <c r="A105" s="3">
        <v>45440</v>
      </c>
      <c r="B105" s="9">
        <v>74.87</v>
      </c>
      <c r="C105" s="9">
        <v>95.36</v>
      </c>
      <c r="D105" s="9">
        <v>107.11</v>
      </c>
      <c r="E105" s="9">
        <v>111.35</v>
      </c>
      <c r="F105" s="9">
        <v>111.29</v>
      </c>
    </row>
    <row r="106" spans="1:6" x14ac:dyDescent="0.3">
      <c r="A106" s="2">
        <v>45441</v>
      </c>
      <c r="B106" s="10">
        <v>74.87</v>
      </c>
      <c r="C106" s="10">
        <v>95.36</v>
      </c>
      <c r="D106" s="10">
        <v>107.11</v>
      </c>
      <c r="E106" s="10">
        <v>111.35</v>
      </c>
      <c r="F106" s="10">
        <v>111.29</v>
      </c>
    </row>
    <row r="107" spans="1:6" x14ac:dyDescent="0.3">
      <c r="A107" s="3">
        <v>45442</v>
      </c>
      <c r="B107" s="9">
        <v>74.87</v>
      </c>
      <c r="C107" s="9">
        <v>95.36</v>
      </c>
      <c r="D107" s="9">
        <v>107.11</v>
      </c>
      <c r="E107" s="9">
        <v>111.35</v>
      </c>
      <c r="F107" s="9">
        <v>111.29</v>
      </c>
    </row>
    <row r="108" spans="1:6" x14ac:dyDescent="0.3">
      <c r="A108" s="2">
        <v>45443</v>
      </c>
      <c r="B108" s="10">
        <v>76.97</v>
      </c>
      <c r="C108" s="10">
        <v>98.19</v>
      </c>
      <c r="D108" s="10">
        <v>110.11</v>
      </c>
      <c r="E108" s="10">
        <v>111.35</v>
      </c>
      <c r="F108" s="10">
        <v>111.73</v>
      </c>
    </row>
    <row r="109" spans="1:6" x14ac:dyDescent="0.3">
      <c r="A109" s="3">
        <v>45446</v>
      </c>
      <c r="B109" s="9">
        <v>76.97</v>
      </c>
      <c r="C109" s="9">
        <v>98.19</v>
      </c>
      <c r="D109" s="9">
        <v>110.11</v>
      </c>
      <c r="E109" s="9">
        <v>109.62</v>
      </c>
      <c r="F109" s="9">
        <v>111.73</v>
      </c>
    </row>
    <row r="110" spans="1:6" x14ac:dyDescent="0.3">
      <c r="A110" s="2">
        <v>45447</v>
      </c>
      <c r="B110" s="10">
        <v>76.97</v>
      </c>
      <c r="C110" s="10">
        <v>98.19</v>
      </c>
      <c r="D110" s="10">
        <v>110.11</v>
      </c>
      <c r="E110" s="10">
        <v>109.62</v>
      </c>
      <c r="F110" s="10">
        <v>111.73</v>
      </c>
    </row>
    <row r="111" spans="1:6" x14ac:dyDescent="0.3">
      <c r="A111" s="3">
        <v>45448</v>
      </c>
      <c r="B111" s="9">
        <v>76.97</v>
      </c>
      <c r="C111" s="9">
        <v>98.19</v>
      </c>
      <c r="D111" s="9">
        <v>110.11</v>
      </c>
      <c r="E111" s="9">
        <v>109.62</v>
      </c>
      <c r="F111" s="9">
        <v>111.73</v>
      </c>
    </row>
    <row r="112" spans="1:6" x14ac:dyDescent="0.3">
      <c r="A112" s="2">
        <v>45449</v>
      </c>
      <c r="B112" s="10">
        <v>76.97</v>
      </c>
      <c r="C112" s="10">
        <v>98.19</v>
      </c>
      <c r="D112" s="10">
        <v>110.11</v>
      </c>
      <c r="E112" s="10">
        <v>109.62</v>
      </c>
      <c r="F112" s="10">
        <v>111.73</v>
      </c>
    </row>
    <row r="113" spans="1:6" x14ac:dyDescent="0.3">
      <c r="A113" s="3">
        <v>45450</v>
      </c>
      <c r="B113" s="9">
        <v>76.13</v>
      </c>
      <c r="C113" s="9">
        <v>96.98</v>
      </c>
      <c r="D113" s="9">
        <v>108.91</v>
      </c>
      <c r="E113" s="9">
        <v>109.62</v>
      </c>
      <c r="F113" s="9">
        <v>112.64</v>
      </c>
    </row>
    <row r="114" spans="1:6" x14ac:dyDescent="0.3">
      <c r="A114" s="2">
        <v>45453</v>
      </c>
      <c r="B114" s="10">
        <v>76.13</v>
      </c>
      <c r="C114" s="10">
        <v>96.98</v>
      </c>
      <c r="D114" s="10">
        <v>108.91</v>
      </c>
      <c r="E114" s="10">
        <v>107.81</v>
      </c>
      <c r="F114" s="10">
        <v>112.64</v>
      </c>
    </row>
    <row r="115" spans="1:6" x14ac:dyDescent="0.3">
      <c r="A115" s="3">
        <v>45454</v>
      </c>
      <c r="B115" s="9">
        <v>76.13</v>
      </c>
      <c r="C115" s="9">
        <v>96.98</v>
      </c>
      <c r="D115" s="9">
        <v>108.91</v>
      </c>
      <c r="E115" s="9">
        <v>107.81</v>
      </c>
      <c r="F115" s="9">
        <v>112.64</v>
      </c>
    </row>
    <row r="116" spans="1:6" x14ac:dyDescent="0.3">
      <c r="A116" s="2">
        <v>45455</v>
      </c>
      <c r="B116" s="10">
        <v>76.13</v>
      </c>
      <c r="C116" s="10">
        <v>96.98</v>
      </c>
      <c r="D116" s="10">
        <v>108.91</v>
      </c>
      <c r="E116" s="10">
        <v>107.81</v>
      </c>
      <c r="F116" s="10">
        <v>112.64</v>
      </c>
    </row>
    <row r="117" spans="1:6" x14ac:dyDescent="0.3">
      <c r="A117" s="3">
        <v>45456</v>
      </c>
      <c r="B117" s="9">
        <v>76.13</v>
      </c>
      <c r="C117" s="9">
        <v>96.98</v>
      </c>
      <c r="D117" s="9">
        <v>108.91</v>
      </c>
      <c r="E117" s="9">
        <v>107.81</v>
      </c>
      <c r="F117" s="9">
        <v>112.64</v>
      </c>
    </row>
    <row r="118" spans="1:6" x14ac:dyDescent="0.3">
      <c r="A118" s="2">
        <v>45457</v>
      </c>
      <c r="B118" s="10">
        <v>72.77</v>
      </c>
      <c r="C118" s="10">
        <v>94.88</v>
      </c>
      <c r="D118" s="10">
        <v>107.09</v>
      </c>
      <c r="E118" s="10">
        <v>107.81</v>
      </c>
      <c r="F118" s="10">
        <v>111.61</v>
      </c>
    </row>
    <row r="119" spans="1:6" x14ac:dyDescent="0.3">
      <c r="A119" s="3">
        <v>45460</v>
      </c>
      <c r="B119" s="9">
        <v>72.77</v>
      </c>
      <c r="C119" s="9">
        <v>94.88</v>
      </c>
      <c r="D119" s="9">
        <v>107.09</v>
      </c>
      <c r="E119" s="9">
        <v>106.83</v>
      </c>
      <c r="F119" s="9">
        <v>111.61</v>
      </c>
    </row>
    <row r="120" spans="1:6" x14ac:dyDescent="0.3">
      <c r="A120" s="2">
        <v>45461</v>
      </c>
      <c r="B120" s="10">
        <v>72.77</v>
      </c>
      <c r="C120" s="10">
        <v>94.88</v>
      </c>
      <c r="D120" s="10">
        <v>107.09</v>
      </c>
      <c r="E120" s="10">
        <v>106.83</v>
      </c>
      <c r="F120" s="10">
        <v>111.61</v>
      </c>
    </row>
    <row r="121" spans="1:6" x14ac:dyDescent="0.3">
      <c r="A121" s="3">
        <v>45462</v>
      </c>
      <c r="B121" s="9">
        <v>72.77</v>
      </c>
      <c r="C121" s="9">
        <v>94.88</v>
      </c>
      <c r="D121" s="9">
        <v>107.09</v>
      </c>
      <c r="E121" s="9">
        <v>106.83</v>
      </c>
      <c r="F121" s="9">
        <v>111.61</v>
      </c>
    </row>
    <row r="122" spans="1:6" x14ac:dyDescent="0.3">
      <c r="A122" s="2">
        <v>45463</v>
      </c>
      <c r="B122" s="10">
        <v>72.77</v>
      </c>
      <c r="C122" s="10">
        <v>94.88</v>
      </c>
      <c r="D122" s="10">
        <v>107.09</v>
      </c>
      <c r="E122" s="10">
        <v>106.83</v>
      </c>
      <c r="F122" s="10">
        <v>111.61</v>
      </c>
    </row>
    <row r="123" spans="1:6" x14ac:dyDescent="0.3">
      <c r="A123" s="3">
        <v>45464</v>
      </c>
      <c r="B123" s="9">
        <v>73.3</v>
      </c>
      <c r="C123" s="9">
        <v>94.56</v>
      </c>
      <c r="D123" s="9">
        <v>107.31</v>
      </c>
      <c r="E123" s="9">
        <v>106.83</v>
      </c>
      <c r="F123" s="9">
        <v>111.2</v>
      </c>
    </row>
    <row r="124" spans="1:6" x14ac:dyDescent="0.3">
      <c r="A124" s="2">
        <v>45467</v>
      </c>
      <c r="B124" s="10">
        <v>73.3</v>
      </c>
      <c r="C124" s="10">
        <v>94.56</v>
      </c>
      <c r="D124" s="10">
        <v>107.31</v>
      </c>
      <c r="E124" s="10">
        <v>106.22</v>
      </c>
      <c r="F124" s="10">
        <v>111.2</v>
      </c>
    </row>
    <row r="125" spans="1:6" x14ac:dyDescent="0.3">
      <c r="A125" s="3">
        <v>45468</v>
      </c>
      <c r="B125" s="9">
        <v>73.3</v>
      </c>
      <c r="C125" s="9">
        <v>94.56</v>
      </c>
      <c r="D125" s="9">
        <v>107.31</v>
      </c>
      <c r="E125" s="9">
        <v>106.22</v>
      </c>
      <c r="F125" s="9">
        <v>111.2</v>
      </c>
    </row>
    <row r="126" spans="1:6" x14ac:dyDescent="0.3">
      <c r="A126" s="2">
        <v>45469</v>
      </c>
      <c r="B126" s="10">
        <v>73.3</v>
      </c>
      <c r="C126" s="10">
        <v>94.56</v>
      </c>
      <c r="D126" s="10">
        <v>107.31</v>
      </c>
      <c r="E126" s="10">
        <v>106.22</v>
      </c>
      <c r="F126" s="10">
        <v>111.2</v>
      </c>
    </row>
    <row r="127" spans="1:6" x14ac:dyDescent="0.3">
      <c r="A127" s="3">
        <v>45470</v>
      </c>
      <c r="B127" s="9">
        <v>73.3</v>
      </c>
      <c r="C127" s="9">
        <v>94.56</v>
      </c>
      <c r="D127" s="9">
        <v>107.31</v>
      </c>
      <c r="E127" s="9">
        <v>106.22</v>
      </c>
      <c r="F127" s="9">
        <v>111.2</v>
      </c>
    </row>
    <row r="128" spans="1:6" x14ac:dyDescent="0.3">
      <c r="A128" s="2">
        <v>45471</v>
      </c>
      <c r="B128" s="10">
        <v>71.38</v>
      </c>
      <c r="C128" s="10">
        <v>92.08</v>
      </c>
      <c r="D128" s="10">
        <v>103.68</v>
      </c>
      <c r="E128" s="10">
        <v>106.22</v>
      </c>
      <c r="F128" s="10">
        <v>109.15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 Secretariat</dc:creator>
  <cp:lastModifiedBy>Pavan Anipireddy</cp:lastModifiedBy>
  <dcterms:created xsi:type="dcterms:W3CDTF">2024-04-04T10:31:52Z</dcterms:created>
  <dcterms:modified xsi:type="dcterms:W3CDTF">2025-04-14T01:14:54Z</dcterms:modified>
</cp:coreProperties>
</file>